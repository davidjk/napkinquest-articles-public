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Calculations" sheetId="3" state="visible" r:id="rId3"/>
    <sheet name="Outputs" sheetId="4" state="visible" r:id="rId4"/>
    <sheet name="Benchmarks" sheetId="5" state="visible" r:id="rId5"/>
    <sheet name="Value" sheetId="6" state="visible" r:id="rId6"/>
    <sheet name="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%"/>
    <numFmt numFmtId="166" formatCode="$#,##0.0"/>
    <numFmt numFmtId="167" formatCode="$#,##0"/>
    <numFmt numFmtId="168" formatCode="#,##0.0"/>
    <numFmt numFmtId="169" formatCode="0.00&quot;×&quot;"/>
    <numFmt numFmtId="170" formatCode="$0.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8000"/>
      <sz val="10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D96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horizontal="right" vertical="center"/>
    </xf>
    <xf numFmtId="4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1" fontId="5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8" fontId="3" fillId="5" borderId="0" applyAlignment="1" pivotButton="0" quotePrefix="0" xfId="0">
      <alignment horizontal="right" vertical="center"/>
    </xf>
    <xf numFmtId="168" fontId="7" fillId="5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168" fontId="3" fillId="6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" fontId="8" fillId="0" borderId="0" pivotButton="0" quotePrefix="0" xfId="0"/>
    <xf numFmtId="165" fontId="8" fillId="0" borderId="0" pivotButton="0" quotePrefix="0" xfId="0"/>
    <xf numFmtId="168" fontId="8" fillId="0" borderId="0" pivotButton="0" quotePrefix="0" xfId="0"/>
    <xf numFmtId="0" fontId="6" fillId="0" borderId="0" pivotButton="0" quotePrefix="0" xfId="0"/>
    <xf numFmtId="168" fontId="8" fillId="6" borderId="0" applyAlignment="1" pivotButton="0" quotePrefix="0" xfId="0">
      <alignment horizontal="right" vertical="center"/>
    </xf>
    <xf numFmtId="168" fontId="8" fillId="5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7" fillId="5" borderId="0" pivotButton="0" quotePrefix="0" xfId="0"/>
    <xf numFmtId="166" fontId="8" fillId="5" borderId="0" applyAlignment="1" pivotButton="0" quotePrefix="0" xfId="0">
      <alignment horizontal="right" vertical="center"/>
    </xf>
    <xf numFmtId="170" fontId="7" fillId="5" borderId="0" applyAlignment="1" pivotButton="0" quotePrefix="0" xfId="0">
      <alignment horizontal="right" vertical="center"/>
    </xf>
    <xf numFmtId="170" fontId="8" fillId="5" borderId="0" applyAlignment="1" pivotButton="0" quotePrefix="0" xfId="0">
      <alignment horizontal="right" vertical="center"/>
    </xf>
    <xf numFmtId="0" fontId="7" fillId="6" borderId="0" pivotButton="0" quotePrefix="0" xfId="0"/>
    <xf numFmtId="167" fontId="8" fillId="6" borderId="0" applyAlignment="1" pivotButton="0" quotePrefix="0" xfId="0">
      <alignment horizontal="right" vertical="center"/>
    </xf>
    <xf numFmtId="170" fontId="7" fillId="6" borderId="0" applyAlignment="1" pivotButton="0" quotePrefix="0" xfId="0">
      <alignment horizontal="right" vertical="center"/>
    </xf>
    <xf numFmtId="170" fontId="8" fillId="6" borderId="0" applyAlignment="1" pivotButton="0" quotePrefix="0" xfId="0">
      <alignment horizontal="right" vertical="center"/>
    </xf>
    <xf numFmtId="166" fontId="8" fillId="6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right" vertical="center"/>
    </xf>
    <xf numFmtId="165" fontId="5" fillId="0" borderId="0" pivotButton="0" quotePrefix="0" xfId="0"/>
    <xf numFmtId="165" fontId="8" fillId="0" borderId="0" applyAlignment="1" pivotButton="0" quotePrefix="0" xfId="0">
      <alignment horizontal="right" vertical="center"/>
    </xf>
    <xf numFmtId="1" fontId="7" fillId="0" borderId="0" pivotButton="0" quotePrefix="0" xfId="0"/>
    <xf numFmtId="1" fontId="7" fillId="8" borderId="0" pivotButton="0" quotePrefix="0" xfId="0"/>
    <xf numFmtId="168" fontId="8" fillId="8" borderId="0" applyAlignment="1" pivotButton="0" quotePrefix="0" xfId="0">
      <alignment horizontal="right" vertical="center"/>
    </xf>
    <xf numFmtId="169" fontId="7" fillId="8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Golf vs Data Centers: US Water Consumption</t>
        </is>
      </c>
    </row>
    <row r="3">
      <c r="A3" s="2" t="inlineStr">
        <is>
          <t>The question</t>
        </is>
      </c>
    </row>
    <row r="4">
      <c r="A4" s="3" t="inlineStr">
        <is>
          <t>Two largely discretionary US uses of water, compared on the same basis: golf course irrigation</t>
        </is>
      </c>
    </row>
    <row r="5">
      <c r="A5" s="3" t="inlineStr">
        <is>
          <t>(long accepted) and data centers (newly scrutinized amid the AI buildout). National, annual.</t>
        </is>
      </c>
    </row>
    <row r="6">
      <c r="A6" s="3" t="inlineStr">
        <is>
          <t>Agriculture is deliberately excluded as a comparator: food production is non-discretionary, so</t>
        </is>
      </c>
    </row>
    <row r="7">
      <c r="A7" s="3" t="inlineStr">
        <is>
          <t>it is not the relevant peer for either of these.</t>
        </is>
      </c>
    </row>
    <row r="9">
      <c r="A9" s="2" t="inlineStr">
        <is>
          <t>The one normalization that matters</t>
        </is>
      </c>
    </row>
    <row r="10">
      <c r="A10" s="3" t="inlineStr">
        <is>
          <t>CONSUMPTION, not withdrawal. Water evaporated or transpired and not returned to the source.</t>
        </is>
      </c>
    </row>
    <row r="11">
      <c r="A11" s="3" t="inlineStr">
        <is>
          <t>Applied identically to both sides. Golf is published as APPLIED (withdrawal-type) water; we convert</t>
        </is>
      </c>
    </row>
    <row r="12">
      <c r="A12" s="3" t="inlineStr">
        <is>
          <t>it to consumption with an evapotranspiration fraction. Data-center water from LBNL is already a</t>
        </is>
      </c>
    </row>
    <row r="13">
      <c r="A13" s="3" t="inlineStr">
        <is>
          <t>consumption-style figure (evaporative cooling + water consumed generating the electricity).</t>
        </is>
      </c>
    </row>
    <row r="15">
      <c r="A15" s="2" t="inlineStr">
        <is>
          <t>The 2x2 (four data-center figures, one golf figure)</t>
        </is>
      </c>
    </row>
    <row r="16">
      <c r="A16" s="3" t="inlineStr">
        <is>
          <t>Axis 1: DIRECT only (on-site cooling) vs DIRECT + INDIRECT (water embedded in the electricity).</t>
        </is>
      </c>
    </row>
    <row r="17">
      <c r="A17" s="3" t="inlineStr">
        <is>
          <t>Axis 2: TOTAL data-center footprint vs AI-MARGINAL share (the slice attributable to AI).</t>
        </is>
      </c>
    </row>
    <row r="18">
      <c r="A18" s="3" t="inlineStr">
        <is>
          <t>That yields four data-center cells. Each is compared against the single golf consumption figure,</t>
        </is>
      </c>
    </row>
    <row r="19">
      <c r="A19" s="3" t="inlineStr">
        <is>
          <t>and the golf-to-data-center ratio is computed per cell (not assumed). See Outputs.</t>
        </is>
      </c>
    </row>
    <row r="21">
      <c r="A21" s="2" t="inlineStr">
        <is>
          <t>AI-marginal share: three selectable methods</t>
        </is>
      </c>
    </row>
    <row r="22">
      <c r="A22" s="3" t="inlineStr">
        <is>
          <t>Incremental (recent growth attributed to AI), Attributional (AI share of total compute today),</t>
        </is>
      </c>
    </row>
    <row r="23">
      <c r="A23" s="3" t="inlineStr">
        <is>
          <t>Build-specific (newly announced AI capacity). Each gives a different number. Pick the method on</t>
        </is>
      </c>
    </row>
    <row r="24">
      <c r="A24" s="3" t="inlineStr">
        <is>
          <t>Assumptions (ai_method = 1/2/3). All three are uncertain; AI increasingly runs on shared</t>
        </is>
      </c>
    </row>
    <row r="25">
      <c r="A25" s="3" t="inlineStr">
        <is>
          <t>infrastructure, which makes clean attribution harder.</t>
        </is>
      </c>
    </row>
    <row r="27">
      <c r="A27" s="2" t="inlineStr">
        <is>
          <t>How to drive the model</t>
        </is>
      </c>
    </row>
    <row r="28">
      <c r="A28" s="3" t="inlineStr">
        <is>
          <t>Change one blue cell on Assumptions and watch Outputs move:</t>
        </is>
      </c>
    </row>
    <row r="29">
      <c r="A29" s="3" t="inlineStr">
        <is>
          <t xml:space="preserve">  ai_method (1=incremental, 2=attributional, 3=build-specific)</t>
        </is>
      </c>
    </row>
    <row r="30">
      <c r="A30" s="3" t="inlineStr">
        <is>
          <t xml:space="preserve">  proj_year (1=2023 current, 2=2026, 3=2028, 4=2030)</t>
        </is>
      </c>
    </row>
    <row r="31">
      <c r="A31" s="3" t="inlineStr">
        <is>
          <t xml:space="preserve">  golf_consumption_fraction (Low/Central/High columns)</t>
        </is>
      </c>
    </row>
    <row r="32">
      <c r="A32" s="3" t="inlineStr">
        <is>
          <t xml:space="preserve">  indirect_water_intensity (Low = marginal gas/renewables, Central/High = LBNL grid-average)</t>
        </is>
      </c>
    </row>
    <row r="34">
      <c r="A34" s="2" t="inlineStr">
        <is>
          <t>Color conventions</t>
        </is>
      </c>
    </row>
    <row r="35">
      <c r="A35" s="3" t="inlineStr">
        <is>
          <t>Blue text  = input you can edit.   Black text = formula.   Green text = cross-sheet reference.</t>
        </is>
      </c>
    </row>
    <row r="36">
      <c r="A36" s="3" t="inlineStr">
        <is>
          <t>Yellow fill = key assumption worth scrutinizing.   Orange fill on a ratio = comparison flips (&lt;1).</t>
        </is>
      </c>
    </row>
    <row r="38">
      <c r="A38" s="2" t="inlineStr">
        <is>
          <t>Biggest caveats (full list on Sensitivity)</t>
        </is>
      </c>
    </row>
    <row r="39">
      <c r="A39" s="3" t="inlineStr">
        <is>
          <t>1. Golf's consumption fraction (70/80/90%) is a MODELING ASSUMPTION, not a surveyed number.</t>
        </is>
      </c>
    </row>
    <row r="40">
      <c r="A40" s="3" t="inlineStr">
        <is>
          <t>2. LBNL's indirect-water intensity (4.52 L/kWh) includes hydropower reservoir evaporation, a</t>
        </is>
      </c>
    </row>
    <row r="41">
      <c r="A41" s="3" t="inlineStr">
        <is>
          <t xml:space="preserve">   grid-average attribution. A marginal view (new gas/renewables) is far lower (~0.8 L/kWh).</t>
        </is>
      </c>
    </row>
    <row r="42">
      <c r="A42" s="3" t="inlineStr">
        <is>
          <t xml:space="preserve">   This single fork swings total data-center water by roughly 4x. It is the model's main lever.</t>
        </is>
      </c>
    </row>
    <row r="43">
      <c r="A43" s="3" t="inlineStr">
        <is>
          <t>3. National aggregate hides local concentration. A stressed county can invert the result.</t>
        </is>
      </c>
    </row>
    <row r="44">
      <c r="A44" s="3" t="inlineStr">
        <is>
          <t>4. 2030 is an extrapolation beyond LBNL's 2028 horizon. Treat it as a sensitivity point.</t>
        </is>
      </c>
    </row>
    <row r="46">
      <c r="A46" s="2" t="inlineStr">
        <is>
          <t>Key sources</t>
        </is>
      </c>
    </row>
    <row r="47">
      <c r="A47" s="3" t="inlineStr">
        <is>
          <t>Golf applied water: Shaddox et al. (2025), HortTechnology 35(5):848-857 (GCSAA/USGA survey, 4th</t>
        </is>
      </c>
    </row>
    <row r="48">
      <c r="A48" s="3" t="inlineStr">
        <is>
          <t xml:space="preserve">  round, 2024 data): 1.63 million acre-feet applied. https://doi.org/10.21273/HORTTECH05716-25</t>
        </is>
      </c>
    </row>
    <row r="49">
      <c r="A49" s="3" t="inlineStr">
        <is>
          <t>Data-center water + electricity: Shehabi et al. (2024), 2024 United States Data Center Energy</t>
        </is>
      </c>
    </row>
    <row r="50">
      <c r="A50" s="3" t="inlineStr">
        <is>
          <t xml:space="preserve">  Usage Report, LBNL-2001637: direct 66 bn L, indirect ~800 bn L (2023); 176 TWh (2023),</t>
        </is>
      </c>
    </row>
    <row r="51">
      <c r="A51" s="3" t="inlineStr">
        <is>
          <t xml:space="preserve">  325-580 TWh (2028). https://eta-publications.lbl.gov (LBNL Dec 2024).</t>
        </is>
      </c>
    </row>
    <row r="52">
      <c r="A52" s="3" t="inlineStr">
        <is>
          <t>Electricity-generation water factors: Macknick et al. (2012), Environ. Res. Lett. 7 045802.</t>
        </is>
      </c>
    </row>
    <row r="53">
      <c r="A53" s="3" t="inlineStr">
        <is>
          <t>Benchmarks: USGS Estimated Use of Water in the United States 2015 (FS 2018-3035).</t>
        </is>
      </c>
    </row>
  </sheetData>
  <mergeCells count="44">
    <mergeCell ref="A41:F41"/>
    <mergeCell ref="A16:F16"/>
    <mergeCell ref="A46:F46"/>
    <mergeCell ref="A27:F27"/>
    <mergeCell ref="A12:F12"/>
    <mergeCell ref="A18:F18"/>
    <mergeCell ref="A50:F50"/>
    <mergeCell ref="A3:F3"/>
    <mergeCell ref="A21:F21"/>
    <mergeCell ref="A47:F47"/>
    <mergeCell ref="A42:F42"/>
    <mergeCell ref="A5:F5"/>
    <mergeCell ref="A23:F23"/>
    <mergeCell ref="A32:F32"/>
    <mergeCell ref="A22:F22"/>
    <mergeCell ref="A17:F17"/>
    <mergeCell ref="A35:F35"/>
    <mergeCell ref="A4:F4"/>
    <mergeCell ref="A53:F53"/>
    <mergeCell ref="A29:F29"/>
    <mergeCell ref="A43:F43"/>
    <mergeCell ref="A38:F38"/>
    <mergeCell ref="A52:F52"/>
    <mergeCell ref="A10:F10"/>
    <mergeCell ref="A28:F28"/>
    <mergeCell ref="A13:F13"/>
    <mergeCell ref="A19:F19"/>
    <mergeCell ref="A44:F44"/>
    <mergeCell ref="A9:F9"/>
    <mergeCell ref="A31:F31"/>
    <mergeCell ref="A34:F34"/>
    <mergeCell ref="A40:F40"/>
    <mergeCell ref="A48:F48"/>
    <mergeCell ref="A30:F30"/>
    <mergeCell ref="A39:F39"/>
    <mergeCell ref="A15:F15"/>
    <mergeCell ref="A24:F24"/>
    <mergeCell ref="A11:F11"/>
    <mergeCell ref="A49:F49"/>
    <mergeCell ref="A51:F51"/>
    <mergeCell ref="A36:F36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64" customWidth="1" min="6" max="6"/>
  </cols>
  <sheetData>
    <row r="1">
      <c r="A1" s="1" t="inlineStr">
        <is>
          <t>Assumptions (every figure editable; blue = input)</t>
        </is>
      </c>
    </row>
    <row r="3">
      <c r="A3" s="4" t="inlineStr">
        <is>
          <t>Driver (named cell)</t>
        </is>
      </c>
      <c r="B3" s="4" t="inlineStr">
        <is>
          <t>Unit</t>
        </is>
      </c>
      <c r="C3" s="4" t="inlineStr">
        <is>
          <t>Low</t>
        </is>
      </c>
      <c r="D3" s="4" t="inlineStr">
        <is>
          <t>Central</t>
        </is>
      </c>
      <c r="E3" s="4" t="inlineStr">
        <is>
          <t>High</t>
        </is>
      </c>
      <c r="F3" s="4" t="inlineStr">
        <is>
          <t>Source / note</t>
        </is>
      </c>
    </row>
    <row r="4">
      <c r="A4" s="2" t="inlineStr">
        <is>
          <t>Unit conversions (constants)</t>
        </is>
      </c>
    </row>
    <row r="5">
      <c r="A5" s="5" t="inlineStr">
        <is>
          <t>Acre-foot to gallons</t>
        </is>
      </c>
      <c r="B5" s="6" t="inlineStr">
        <is>
          <t>gal/AF</t>
        </is>
      </c>
      <c r="C5" s="7" t="n">
        <v>325851</v>
      </c>
      <c r="D5" s="7" t="n">
        <v>325851</v>
      </c>
      <c r="E5" s="7" t="n">
        <v>325851</v>
      </c>
      <c r="F5" s="8" t="inlineStr">
        <is>
          <t>Exact. 1 acre-foot = 325,851 US gallons.</t>
        </is>
      </c>
    </row>
    <row r="6">
      <c r="A6" s="5" t="inlineStr">
        <is>
          <t>Liters to gallons</t>
        </is>
      </c>
      <c r="B6" s="6" t="inlineStr">
        <is>
          <t>gal/L</t>
        </is>
      </c>
      <c r="C6" s="9" t="n">
        <v>0.264172</v>
      </c>
      <c r="D6" s="9" t="n">
        <v>0.264172</v>
      </c>
      <c r="E6" s="9" t="n">
        <v>0.264172</v>
      </c>
      <c r="F6" s="8" t="inlineStr">
        <is>
          <t>1 US gallon = 3.785 L.</t>
        </is>
      </c>
    </row>
    <row r="8">
      <c r="A8" s="2" t="inlineStr">
        <is>
          <t>Golf (one figure, compared against the four DC cells)</t>
        </is>
      </c>
    </row>
    <row r="9">
      <c r="A9" s="5" t="inlineStr">
        <is>
          <t>Golf applied (irrigation) water, national</t>
        </is>
      </c>
      <c r="B9" s="6" t="inlineStr">
        <is>
          <t>M acre-ft</t>
        </is>
      </c>
      <c r="C9" s="10" t="n">
        <v>1.58</v>
      </c>
      <c r="D9" s="10" t="n">
        <v>1.63</v>
      </c>
      <c r="E9" s="10" t="n">
        <v>1.68</v>
      </c>
      <c r="F9" s="8" t="inlineStr">
        <is>
          <t>Shaddox et al. 2025 HortTechnology (GCSAA/USGA 4th-round survey, 2024 data): 1.63M acre-ft APPLIED. Band is projection uncertainty (+/-3%). This is withdrawal-type, not consumption.</t>
        </is>
      </c>
    </row>
    <row r="10">
      <c r="A10" s="5" t="inlineStr">
        <is>
          <t>Golf evapotranspiration consumption fraction</t>
        </is>
      </c>
      <c r="B10" s="6" t="inlineStr">
        <is>
          <t>%</t>
        </is>
      </c>
      <c r="C10" s="11" t="n">
        <v>0.7</v>
      </c>
      <c r="D10" s="11" t="n">
        <v>0.8</v>
      </c>
      <c r="E10" s="11" t="n">
        <v>0.9</v>
      </c>
      <c r="F10" s="8" t="inlineStr">
        <is>
          <t>MODELING ASSUMPTION, not surveyed. Share of applied turf water consumed via ET (rest is runoff / deep percolation back to source). No survey-grade national value exists.</t>
        </is>
      </c>
    </row>
    <row r="12">
      <c r="A12" s="2" t="inlineStr">
        <is>
          <t>Data-center electricity by year (TWh)</t>
        </is>
      </c>
    </row>
    <row r="13">
      <c r="A13" s="5" t="inlineStr">
        <is>
          <t>DC electricity, 2023 (actual)</t>
        </is>
      </c>
      <c r="B13" s="6" t="inlineStr">
        <is>
          <t>TWh</t>
        </is>
      </c>
      <c r="C13" s="12" t="n">
        <v>170</v>
      </c>
      <c r="D13" s="12" t="n">
        <v>176</v>
      </c>
      <c r="E13" s="12" t="n">
        <v>182</v>
      </c>
      <c r="F13" s="8" t="inlineStr">
        <is>
          <t>LBNL 2024: 176 TWh = 4.4% of US electricity. Band is rounding.</t>
        </is>
      </c>
    </row>
    <row r="14">
      <c r="A14" s="5" t="inlineStr">
        <is>
          <t>DC electricity, 2026 (interpolated)</t>
        </is>
      </c>
      <c r="B14" s="6" t="inlineStr">
        <is>
          <t>TWh</t>
        </is>
      </c>
      <c r="C14" s="7" t="n">
        <v>255</v>
      </c>
      <c r="D14" s="7" t="n">
        <v>309</v>
      </c>
      <c r="E14" s="7" t="n">
        <v>361</v>
      </c>
      <c r="F14" s="8" t="inlineStr">
        <is>
          <t>Interpolated on LBNL 2023-&gt;2028 CAGR (13/21/27%/yr by scenario).</t>
        </is>
      </c>
    </row>
    <row r="15">
      <c r="A15" s="5" t="inlineStr">
        <is>
          <t>DC electricity, 2028 (LBNL scenarios)</t>
        </is>
      </c>
      <c r="B15" s="6" t="inlineStr">
        <is>
          <t>TWh</t>
        </is>
      </c>
      <c r="C15" s="12" t="n">
        <v>325</v>
      </c>
      <c r="D15" s="12" t="n">
        <v>450</v>
      </c>
      <c r="E15" s="12" t="n">
        <v>580</v>
      </c>
      <c r="F15" s="8" t="inlineStr">
        <is>
          <t>LBNL 2024: low/high = 325/580 TWh; central = midpoint. = 6.7-12% of US electricity.</t>
        </is>
      </c>
    </row>
    <row r="16">
      <c r="A16" s="5" t="inlineStr">
        <is>
          <t>DC electricity, 2030 (extrapolated)</t>
        </is>
      </c>
      <c r="B16" s="6" t="inlineStr">
        <is>
          <t>TWh</t>
        </is>
      </c>
      <c r="C16" s="7" t="n">
        <v>416</v>
      </c>
      <c r="D16" s="7" t="n">
        <v>656</v>
      </c>
      <c r="E16" s="7" t="n">
        <v>936</v>
      </c>
      <c r="F16" s="8" t="inlineStr">
        <is>
          <t>EXTRAPOLATION beyond LBNL horizon at each scenario's CAGR. Sensitivity point only.</t>
        </is>
      </c>
    </row>
    <row r="18">
      <c r="A18" s="2" t="inlineStr">
        <is>
          <t>Water intensities</t>
        </is>
      </c>
    </row>
    <row r="19">
      <c r="A19" s="5" t="inlineStr">
        <is>
          <t>Direct water-use effectiveness, 2023</t>
        </is>
      </c>
      <c r="B19" s="6" t="inlineStr">
        <is>
          <t>L/kWh</t>
        </is>
      </c>
      <c r="C19" s="13" t="n">
        <v>0.32</v>
      </c>
      <c r="D19" s="13" t="n">
        <v>0.375</v>
      </c>
      <c r="E19" s="13" t="n">
        <v>0.43</v>
      </c>
      <c r="F19" s="8" t="inlineStr">
        <is>
          <t>LBNL 2024 site WUE ~0.36 L/kWh; 0.375 reproduces the 66 bn L direct total at 176 TWh.</t>
        </is>
      </c>
    </row>
    <row r="20">
      <c r="A20" s="5" t="inlineStr">
        <is>
          <t>Direct WUE, 2026</t>
        </is>
      </c>
      <c r="B20" s="6" t="inlineStr">
        <is>
          <t>L/kWh</t>
        </is>
      </c>
      <c r="C20" s="13" t="n">
        <v>0.36</v>
      </c>
      <c r="D20" s="13" t="n">
        <v>0.42</v>
      </c>
      <c r="E20" s="13" t="n">
        <v>0.49</v>
      </c>
      <c r="F20" s="8" t="inlineStr">
        <is>
          <t>Rising toward LBNL's 0.45-0.48 by 2028 (liquid cooling for AI).</t>
        </is>
      </c>
    </row>
    <row r="21">
      <c r="A21" s="5" t="inlineStr">
        <is>
          <t>Direct WUE, 2028</t>
        </is>
      </c>
      <c r="B21" s="6" t="inlineStr">
        <is>
          <t>L/kWh</t>
        </is>
      </c>
      <c r="C21" s="13" t="n">
        <v>0.4</v>
      </c>
      <c r="D21" s="13" t="n">
        <v>0.46</v>
      </c>
      <c r="E21" s="13" t="n">
        <v>0.53</v>
      </c>
      <c r="F21" s="8" t="inlineStr">
        <is>
          <t>LBNL 2024: projected site WUE 0.45-0.48 L/kWh.</t>
        </is>
      </c>
    </row>
    <row r="22">
      <c r="A22" s="5" t="inlineStr">
        <is>
          <t>Direct WUE, 2030</t>
        </is>
      </c>
      <c r="B22" s="6" t="inlineStr">
        <is>
          <t>L/kWh</t>
        </is>
      </c>
      <c r="C22" s="13" t="n">
        <v>0.4</v>
      </c>
      <c r="D22" s="13" t="n">
        <v>0.47</v>
      </c>
      <c r="E22" s="13" t="n">
        <v>0.55</v>
      </c>
      <c r="F22" s="8" t="inlineStr">
        <is>
          <t>Held near 2028; extrapolation.</t>
        </is>
      </c>
    </row>
    <row r="23">
      <c r="A23" s="5" t="inlineStr">
        <is>
          <t>Indirect water intensity of electricity</t>
        </is>
      </c>
      <c r="B23" s="6" t="inlineStr">
        <is>
          <t>L/kWh</t>
        </is>
      </c>
      <c r="C23" s="10" t="n">
        <v>0.8</v>
      </c>
      <c r="D23" s="10" t="n">
        <v>4.52</v>
      </c>
      <c r="E23" s="10" t="n">
        <v>6</v>
      </c>
      <c r="F23" s="8" t="inlineStr">
        <is>
          <t>THE MAIN LEVER. Central 4.52 = LBNL DC-weighted grid average, INCLUDES hydropower reservoir evaporation. Low 0.80 = marginal gas/renewables view (Macknick NGCC ~0.78). High 6.0 = hydro/coal-heavy regions.</t>
        </is>
      </c>
    </row>
    <row r="25">
      <c r="A25" s="2" t="inlineStr">
        <is>
          <t>AI-marginal share (three methods; pick one with ai_method)</t>
        </is>
      </c>
    </row>
    <row r="26">
      <c r="A26" s="5" t="inlineStr">
        <is>
          <t>Method 1: incremental (AI share of recent growth)</t>
        </is>
      </c>
      <c r="B26" s="6" t="inlineStr">
        <is>
          <t>%</t>
        </is>
      </c>
      <c r="C26" s="11" t="n">
        <v>0.55</v>
      </c>
      <c r="D26" s="11" t="n">
        <v>0.65</v>
      </c>
      <c r="E26" s="11" t="n">
        <v>0.8</v>
      </c>
      <c r="F26" s="8" t="inlineStr">
        <is>
          <t>LBNL: accelerated AI servers drove most of the 2017-23 server-energy growth and define the 2028 scenario fan.</t>
        </is>
      </c>
    </row>
    <row r="27">
      <c r="A27" s="5" t="inlineStr">
        <is>
          <t>Method 2: attributional (AI share of total DC today)</t>
        </is>
      </c>
      <c r="B27" s="6" t="inlineStr">
        <is>
          <t>%</t>
        </is>
      </c>
      <c r="C27" s="11" t="n">
        <v>0.15</v>
      </c>
      <c r="D27" s="11" t="n">
        <v>0.23</v>
      </c>
      <c r="E27" s="11" t="n">
        <v>0.3</v>
      </c>
      <c r="F27" s="8" t="inlineStr">
        <is>
          <t>LBNL: AI-accelerated servers &gt;40 TWh of 176 TWh (2023) ~= 23%. Cleanest single number.</t>
        </is>
      </c>
    </row>
    <row r="28">
      <c r="A28" s="5" t="inlineStr">
        <is>
          <t>Method 3: build-specific (AI share of new capacity)</t>
        </is>
      </c>
      <c r="B28" s="6" t="inlineStr">
        <is>
          <t>%</t>
        </is>
      </c>
      <c r="C28" s="11" t="n">
        <v>0.6</v>
      </c>
      <c r="D28" s="11" t="n">
        <v>0.8</v>
      </c>
      <c r="E28" s="11" t="n">
        <v>0.95</v>
      </c>
      <c r="F28" s="8" t="inlineStr">
        <is>
          <t>Stargate/Hyperion + 2025 leasing surge: near-all marginal GW is AI. Press-announcement basis.</t>
        </is>
      </c>
    </row>
    <row r="30">
      <c r="A30" s="2" t="inlineStr">
        <is>
          <t>Selectors (change these to drive Outputs)</t>
        </is>
      </c>
    </row>
    <row r="31">
      <c r="A31" s="5" t="inlineStr">
        <is>
          <t>ai_method  (1=incremental, 2=attributional, 3=build-specific)</t>
        </is>
      </c>
      <c r="B31" s="6" t="inlineStr">
        <is>
          <t>1-3</t>
        </is>
      </c>
      <c r="C31" s="14" t="n">
        <v>2</v>
      </c>
      <c r="D31" s="14" t="n">
        <v>2</v>
      </c>
      <c r="E31" s="14" t="n">
        <v>2</v>
      </c>
      <c r="F31" s="8" t="inlineStr">
        <is>
          <t>Picks which AI-share row feeds the AI-marginal cells. Default 2 (attributional).</t>
        </is>
      </c>
    </row>
    <row r="32">
      <c r="A32" s="5" t="inlineStr">
        <is>
          <t>proj_year  (1=2023, 2=2026, 3=2028, 4=2030)</t>
        </is>
      </c>
      <c r="B32" s="6" t="inlineStr">
        <is>
          <t>1-4</t>
        </is>
      </c>
      <c r="C32" s="14" t="n">
        <v>1</v>
      </c>
      <c r="D32" s="14" t="n">
        <v>1</v>
      </c>
      <c r="E32" s="14" t="n">
        <v>1</v>
      </c>
      <c r="F32" s="8" t="inlineStr">
        <is>
          <t>Picks which year's electricity/water feeds Outputs. Default 1 (2023, current).</t>
        </is>
      </c>
    </row>
    <row r="34">
      <c r="A34" s="2" t="inlineStr">
        <is>
          <t>Benchmarks (US national)</t>
        </is>
      </c>
    </row>
    <row r="35">
      <c r="A35" s="5" t="inlineStr">
        <is>
          <t>US irrigation consumptive use</t>
        </is>
      </c>
      <c r="B35" s="6" t="inlineStr">
        <is>
          <t>Bgal/day</t>
        </is>
      </c>
      <c r="C35" s="13" t="n">
        <v>73.2</v>
      </c>
      <c r="D35" s="13" t="n">
        <v>73.2</v>
      </c>
      <c r="E35" s="13" t="n">
        <v>73.2</v>
      </c>
      <c r="F35" s="8" t="inlineStr">
        <is>
          <t>USGS 2015 (FS 2018-3035): 73.2 Bgal/d consumed (of 118 Bgal/d withdrawn).</t>
        </is>
      </c>
    </row>
    <row r="36">
      <c r="A36" s="5" t="inlineStr">
        <is>
          <t>US irrigation withdrawals</t>
        </is>
      </c>
      <c r="B36" s="6" t="inlineStr">
        <is>
          <t>Bgal/day</t>
        </is>
      </c>
      <c r="C36" s="7" t="n">
        <v>118</v>
      </c>
      <c r="D36" s="7" t="n">
        <v>118</v>
      </c>
      <c r="E36" s="7" t="n">
        <v>118</v>
      </c>
      <c r="F36" s="8" t="inlineStr">
        <is>
          <t>USGS 2015. Withdrawal basis (for contrast).</t>
        </is>
      </c>
    </row>
    <row r="37">
      <c r="A37" s="5" t="inlineStr">
        <is>
          <t>US total freshwater withdrawals (all uses)</t>
        </is>
      </c>
      <c r="B37" s="6" t="inlineStr">
        <is>
          <t>Bgal/day</t>
        </is>
      </c>
      <c r="C37" s="7" t="n">
        <v>281</v>
      </c>
      <c r="D37" s="7" t="n">
        <v>281</v>
      </c>
      <c r="E37" s="7" t="n">
        <v>281</v>
      </c>
      <c r="F37" s="8" t="inlineStr">
        <is>
          <t>USGS 2015: 281 Bgal/d freshwater (322 incl. saline).</t>
        </is>
      </c>
    </row>
    <row r="38">
      <c r="A38" s="5" t="inlineStr">
        <is>
          <t>US thermoelectric consumptive use</t>
        </is>
      </c>
      <c r="B38" s="6" t="inlineStr">
        <is>
          <t>Bgal/day</t>
        </is>
      </c>
      <c r="C38" s="13" t="n">
        <v>4.31</v>
      </c>
      <c r="D38" s="13" t="n">
        <v>4.31</v>
      </c>
      <c r="E38" s="13" t="n">
        <v>4.31</v>
      </c>
      <c r="F38" s="8" t="inlineStr">
        <is>
          <t>USGS 2015: 4.31 Bgal/d consumed by power plants (all generation, not just DC).</t>
        </is>
      </c>
    </row>
    <row r="40">
      <c r="A40" s="2" t="inlineStr">
        <is>
          <t>Economic value (softer inputs, for value-per-gallon)</t>
        </is>
      </c>
    </row>
    <row r="41">
      <c r="A41" s="5" t="inlineStr">
        <is>
          <t>US golf facility/course revenue (direct)</t>
        </is>
      </c>
      <c r="B41" s="6" t="inlineStr">
        <is>
          <t>$B/yr</t>
        </is>
      </c>
      <c r="C41" s="15" t="n">
        <v>35.7</v>
      </c>
      <c r="D41" s="15" t="n">
        <v>35.7</v>
      </c>
      <c r="E41" s="15" t="n">
        <v>35.7</v>
      </c>
      <c r="F41" s="8" t="inlineStr">
        <is>
          <t>IBISWorld 2025, Golf Courses &amp; Country Clubs: green fees, memberships, on-course spend. Narrow, the value most directly attributable to the water.</t>
        </is>
      </c>
    </row>
    <row r="42">
      <c r="A42" s="5" t="inlineStr">
        <is>
          <t>US golf total economic impact (broad)</t>
        </is>
      </c>
      <c r="B42" s="6" t="inlineStr">
        <is>
          <t>$B/yr</t>
        </is>
      </c>
      <c r="C42" s="15" t="n">
        <v>101.7</v>
      </c>
      <c r="D42" s="15" t="n">
        <v>101.7</v>
      </c>
      <c r="E42" s="15" t="n">
        <v>101.7</v>
      </c>
      <c r="F42" s="8" t="inlineStr">
        <is>
          <t>We Are Golf/NGF 2022 direct impact; bundles equipment, apparel, real estate, tourism. Industry-commissioned upper bound.</t>
        </is>
      </c>
    </row>
    <row r="43">
      <c r="A43" s="5" t="inlineStr">
        <is>
          <t>US data center market revenue (direct)</t>
        </is>
      </c>
      <c r="B43" s="6" t="inlineStr">
        <is>
          <t>$B/yr</t>
        </is>
      </c>
      <c r="C43" s="16" t="n">
        <v>208.4</v>
      </c>
      <c r="D43" s="16" t="n">
        <v>208.4</v>
      </c>
      <c r="E43" s="16" t="n">
        <v>208.4</v>
      </c>
      <c r="F43" s="8" t="inlineStr">
        <is>
          <t>Arizton 2024, US data center market (colocation + hyperscale + enterprise). Narrow.</t>
        </is>
      </c>
    </row>
    <row r="44">
      <c r="A44" s="5" t="inlineStr">
        <is>
          <t>US data center GDP contribution (broad)</t>
        </is>
      </c>
      <c r="B44" s="6" t="inlineStr">
        <is>
          <t>$B/yr</t>
        </is>
      </c>
      <c r="C44" s="16" t="n">
        <v>727</v>
      </c>
      <c r="D44" s="16" t="n">
        <v>727</v>
      </c>
      <c r="E44" s="16" t="n">
        <v>727</v>
      </c>
      <c r="F44" s="8" t="inlineStr">
        <is>
          <t>PwC for Data Center Coalition, 2023 direct value-added. Industry-commissioned, multiplier-heavy upper bound.</t>
        </is>
      </c>
    </row>
    <row r="45">
      <c r="A45" s="5" t="inlineStr">
        <is>
          <t>US generative-AI revenue (AI-specific)</t>
        </is>
      </c>
      <c r="B45" s="6" t="inlineStr">
        <is>
          <t>$B/yr</t>
        </is>
      </c>
      <c r="C45" s="15" t="n">
        <v>12.8</v>
      </c>
      <c r="D45" s="15" t="n">
        <v>12.8</v>
      </c>
      <c r="E45" s="15" t="n">
        <v>12.8</v>
      </c>
      <c r="F45" s="8" t="inlineStr">
        <is>
          <t>S&amp;P Global 2024, US generative AI. Small, fast-growing, contested attribution.</t>
        </is>
      </c>
    </row>
  </sheetData>
  <mergeCells count="9">
    <mergeCell ref="A1:F1"/>
    <mergeCell ref="A8:F8"/>
    <mergeCell ref="A34:F34"/>
    <mergeCell ref="A18:F18"/>
    <mergeCell ref="A12:F12"/>
    <mergeCell ref="A4:F4"/>
    <mergeCell ref="A40:F40"/>
    <mergeCell ref="A30:F30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Calculations (all water in billion gallons/year unless noted)</t>
        </is>
      </c>
    </row>
    <row r="3">
      <c r="A3" s="4" t="inlineStr">
        <is>
          <t>Quantity</t>
        </is>
      </c>
      <c r="B3" s="4" t="inlineStr">
        <is>
          <t>Unit</t>
        </is>
      </c>
      <c r="C3" s="4" t="inlineStr">
        <is>
          <t>Low</t>
        </is>
      </c>
      <c r="D3" s="4" t="inlineStr">
        <is>
          <t>Central</t>
        </is>
      </c>
      <c r="E3" s="4" t="inlineStr">
        <is>
          <t>High</t>
        </is>
      </c>
      <c r="F3" s="4" t="inlineStr">
        <is>
          <t>Formula note</t>
        </is>
      </c>
    </row>
    <row r="5">
      <c r="A5" s="2" t="inlineStr">
        <is>
          <t>Golf</t>
        </is>
      </c>
    </row>
    <row r="6">
      <c r="A6" s="5" t="inlineStr">
        <is>
          <t>Golf applied water</t>
        </is>
      </c>
      <c r="B6" s="6" t="inlineStr">
        <is>
          <t>Bgal/yr</t>
        </is>
      </c>
      <c r="C6" s="17">
        <f>Assumptions!C9*1000000*Assumptions!D5/1000000000</f>
        <v/>
      </c>
      <c r="D6" s="17">
        <f>Assumptions!D9*1000000*Assumptions!D5/1000000000</f>
        <v/>
      </c>
      <c r="E6" s="17">
        <f>Assumptions!E9*1000000*Assumptions!D5/1000000000</f>
        <v/>
      </c>
      <c r="F6" s="8" t="inlineStr">
        <is>
          <t>Applied (withdrawal-type). M acre-ft x 325,851 gal.</t>
        </is>
      </c>
    </row>
    <row r="7">
      <c r="A7" s="5" t="inlineStr">
        <is>
          <t>Golf CONSUMED water</t>
        </is>
      </c>
      <c r="B7" s="6" t="inlineStr">
        <is>
          <t>Bgal/yr</t>
        </is>
      </c>
      <c r="C7" s="18">
        <f>C6*Assumptions!C10</f>
        <v/>
      </c>
      <c r="D7" s="18">
        <f>D6*Assumptions!D10</f>
        <v/>
      </c>
      <c r="E7" s="18">
        <f>E6*Assumptions!E10</f>
        <v/>
      </c>
      <c r="F7" s="8" t="inlineStr">
        <is>
          <t>Applied x ET consumption fraction. This is the golf number used everywhere.</t>
        </is>
      </c>
    </row>
    <row r="9">
      <c r="A9" s="19" t="inlineStr">
        <is>
          <t>Data-center water by year (Bgal/yr)</t>
        </is>
      </c>
    </row>
    <row r="10">
      <c r="A10" s="5" t="inlineStr">
        <is>
          <t xml:space="preserve">  2023 electricity</t>
        </is>
      </c>
      <c r="B10" s="6" t="inlineStr">
        <is>
          <t>TWh</t>
        </is>
      </c>
      <c r="C10" s="20">
        <f>Assumptions!C13</f>
        <v/>
      </c>
      <c r="D10" s="20">
        <f>Assumptions!D13</f>
        <v/>
      </c>
      <c r="E10" s="20">
        <f>Assumptions!E13</f>
        <v/>
      </c>
      <c r="F10" s="8" t="inlineStr">
        <is>
          <t>From Assumptions.</t>
        </is>
      </c>
    </row>
    <row r="11">
      <c r="A11" s="5" t="inlineStr">
        <is>
          <t xml:space="preserve">  2023 DIRECT water (on-site cooling)</t>
        </is>
      </c>
      <c r="B11" s="6" t="inlineStr">
        <is>
          <t>Bgal/yr</t>
        </is>
      </c>
      <c r="C11" s="21">
        <f>Assumptions!C13*Assumptions!C19*Assumptions!D6</f>
        <v/>
      </c>
      <c r="D11" s="21">
        <f>Assumptions!D13*Assumptions!D19*Assumptions!D6</f>
        <v/>
      </c>
      <c r="E11" s="21">
        <f>Assumptions!E13*Assumptions!E19*Assumptions!D6</f>
        <v/>
      </c>
      <c r="F11" s="8" t="inlineStr">
        <is>
          <t>TWh x 1e9 kWh x WUE(L/kWh) x gal/L / 1e9.</t>
        </is>
      </c>
    </row>
    <row r="12">
      <c r="A12" s="5" t="inlineStr">
        <is>
          <t xml:space="preserve">  2023 INDIRECT water (electricity generation)</t>
        </is>
      </c>
      <c r="B12" s="6" t="inlineStr">
        <is>
          <t>Bgal/yr</t>
        </is>
      </c>
      <c r="C12" s="21">
        <f>Assumptions!C13*Assumptions!C23*Assumptions!D6</f>
        <v/>
      </c>
      <c r="D12" s="21">
        <f>Assumptions!D13*Assumptions!D23*Assumptions!D6</f>
        <v/>
      </c>
      <c r="E12" s="21">
        <f>Assumptions!E13*Assumptions!E23*Assumptions!D6</f>
        <v/>
      </c>
      <c r="F12" s="8" t="inlineStr">
        <is>
          <t>TWh x 1e9 kWh x intensity(L/kWh) x gal/L / 1e9.</t>
        </is>
      </c>
    </row>
    <row r="13">
      <c r="A13" s="5" t="inlineStr">
        <is>
          <t xml:space="preserve">  2023 TOTAL (direct + indirect)</t>
        </is>
      </c>
      <c r="B13" s="6" t="inlineStr">
        <is>
          <t>Bgal/yr</t>
        </is>
      </c>
      <c r="C13" s="22">
        <f>C11+C12</f>
        <v/>
      </c>
      <c r="D13" s="22">
        <f>D11+D12</f>
        <v/>
      </c>
      <c r="E13" s="22">
        <f>E11+E12</f>
        <v/>
      </c>
    </row>
    <row r="14">
      <c r="A14" s="5" t="inlineStr">
        <is>
          <t xml:space="preserve">  2026 electricity</t>
        </is>
      </c>
      <c r="B14" s="6" t="inlineStr">
        <is>
          <t>TWh</t>
        </is>
      </c>
      <c r="C14" s="20">
        <f>Assumptions!C14</f>
        <v/>
      </c>
      <c r="D14" s="20">
        <f>Assumptions!D14</f>
        <v/>
      </c>
      <c r="E14" s="20">
        <f>Assumptions!E14</f>
        <v/>
      </c>
      <c r="F14" s="8" t="inlineStr">
        <is>
          <t>From Assumptions.</t>
        </is>
      </c>
    </row>
    <row r="15">
      <c r="A15" s="5" t="inlineStr">
        <is>
          <t xml:space="preserve">  2026 DIRECT water (on-site cooling)</t>
        </is>
      </c>
      <c r="B15" s="6" t="inlineStr">
        <is>
          <t>Bgal/yr</t>
        </is>
      </c>
      <c r="C15" s="21">
        <f>Assumptions!C14*Assumptions!C20*Assumptions!D6</f>
        <v/>
      </c>
      <c r="D15" s="21">
        <f>Assumptions!D14*Assumptions!D20*Assumptions!D6</f>
        <v/>
      </c>
      <c r="E15" s="21">
        <f>Assumptions!E14*Assumptions!E20*Assumptions!D6</f>
        <v/>
      </c>
      <c r="F15" s="8" t="inlineStr">
        <is>
          <t>TWh x 1e9 kWh x WUE(L/kWh) x gal/L / 1e9.</t>
        </is>
      </c>
    </row>
    <row r="16">
      <c r="A16" s="5" t="inlineStr">
        <is>
          <t xml:space="preserve">  2026 INDIRECT water (electricity generation)</t>
        </is>
      </c>
      <c r="B16" s="6" t="inlineStr">
        <is>
          <t>Bgal/yr</t>
        </is>
      </c>
      <c r="C16" s="21">
        <f>Assumptions!C14*Assumptions!C23*Assumptions!D6</f>
        <v/>
      </c>
      <c r="D16" s="21">
        <f>Assumptions!D14*Assumptions!D23*Assumptions!D6</f>
        <v/>
      </c>
      <c r="E16" s="21">
        <f>Assumptions!E14*Assumptions!E23*Assumptions!D6</f>
        <v/>
      </c>
      <c r="F16" s="8" t="inlineStr">
        <is>
          <t>TWh x 1e9 kWh x intensity(L/kWh) x gal/L / 1e9.</t>
        </is>
      </c>
    </row>
    <row r="17">
      <c r="A17" s="5" t="inlineStr">
        <is>
          <t xml:space="preserve">  2026 TOTAL (direct + indirect)</t>
        </is>
      </c>
      <c r="B17" s="6" t="inlineStr">
        <is>
          <t>Bgal/yr</t>
        </is>
      </c>
      <c r="C17" s="22">
        <f>C15+C16</f>
        <v/>
      </c>
      <c r="D17" s="22">
        <f>D15+D16</f>
        <v/>
      </c>
      <c r="E17" s="22">
        <f>E15+E16</f>
        <v/>
      </c>
    </row>
    <row r="18">
      <c r="A18" s="5" t="inlineStr">
        <is>
          <t xml:space="preserve">  2028 electricity</t>
        </is>
      </c>
      <c r="B18" s="6" t="inlineStr">
        <is>
          <t>TWh</t>
        </is>
      </c>
      <c r="C18" s="20">
        <f>Assumptions!C15</f>
        <v/>
      </c>
      <c r="D18" s="20">
        <f>Assumptions!D15</f>
        <v/>
      </c>
      <c r="E18" s="20">
        <f>Assumptions!E15</f>
        <v/>
      </c>
      <c r="F18" s="8" t="inlineStr">
        <is>
          <t>From Assumptions.</t>
        </is>
      </c>
    </row>
    <row r="19">
      <c r="A19" s="5" t="inlineStr">
        <is>
          <t xml:space="preserve">  2028 DIRECT water (on-site cooling)</t>
        </is>
      </c>
      <c r="B19" s="6" t="inlineStr">
        <is>
          <t>Bgal/yr</t>
        </is>
      </c>
      <c r="C19" s="21">
        <f>Assumptions!C15*Assumptions!C21*Assumptions!D6</f>
        <v/>
      </c>
      <c r="D19" s="21">
        <f>Assumptions!D15*Assumptions!D21*Assumptions!D6</f>
        <v/>
      </c>
      <c r="E19" s="21">
        <f>Assumptions!E15*Assumptions!E21*Assumptions!D6</f>
        <v/>
      </c>
      <c r="F19" s="8" t="inlineStr">
        <is>
          <t>TWh x 1e9 kWh x WUE(L/kWh) x gal/L / 1e9.</t>
        </is>
      </c>
    </row>
    <row r="20">
      <c r="A20" s="5" t="inlineStr">
        <is>
          <t xml:space="preserve">  2028 INDIRECT water (electricity generation)</t>
        </is>
      </c>
      <c r="B20" s="6" t="inlineStr">
        <is>
          <t>Bgal/yr</t>
        </is>
      </c>
      <c r="C20" s="21">
        <f>Assumptions!C15*Assumptions!C23*Assumptions!D6</f>
        <v/>
      </c>
      <c r="D20" s="21">
        <f>Assumptions!D15*Assumptions!D23*Assumptions!D6</f>
        <v/>
      </c>
      <c r="E20" s="21">
        <f>Assumptions!E15*Assumptions!E23*Assumptions!D6</f>
        <v/>
      </c>
      <c r="F20" s="8" t="inlineStr">
        <is>
          <t>TWh x 1e9 kWh x intensity(L/kWh) x gal/L / 1e9.</t>
        </is>
      </c>
    </row>
    <row r="21">
      <c r="A21" s="5" t="inlineStr">
        <is>
          <t xml:space="preserve">  2028 TOTAL (direct + indirect)</t>
        </is>
      </c>
      <c r="B21" s="6" t="inlineStr">
        <is>
          <t>Bgal/yr</t>
        </is>
      </c>
      <c r="C21" s="22">
        <f>C19+C20</f>
        <v/>
      </c>
      <c r="D21" s="22">
        <f>D19+D20</f>
        <v/>
      </c>
      <c r="E21" s="22">
        <f>E19+E20</f>
        <v/>
      </c>
    </row>
    <row r="22">
      <c r="A22" s="5" t="inlineStr">
        <is>
          <t xml:space="preserve">  2030 electricity</t>
        </is>
      </c>
      <c r="B22" s="6" t="inlineStr">
        <is>
          <t>TWh</t>
        </is>
      </c>
      <c r="C22" s="20">
        <f>Assumptions!C16</f>
        <v/>
      </c>
      <c r="D22" s="20">
        <f>Assumptions!D16</f>
        <v/>
      </c>
      <c r="E22" s="20">
        <f>Assumptions!E16</f>
        <v/>
      </c>
      <c r="F22" s="8" t="inlineStr">
        <is>
          <t>From Assumptions.</t>
        </is>
      </c>
    </row>
    <row r="23">
      <c r="A23" s="5" t="inlineStr">
        <is>
          <t xml:space="preserve">  2030 DIRECT water (on-site cooling)</t>
        </is>
      </c>
      <c r="B23" s="6" t="inlineStr">
        <is>
          <t>Bgal/yr</t>
        </is>
      </c>
      <c r="C23" s="21">
        <f>Assumptions!C16*Assumptions!C22*Assumptions!D6</f>
        <v/>
      </c>
      <c r="D23" s="21">
        <f>Assumptions!D16*Assumptions!D22*Assumptions!D6</f>
        <v/>
      </c>
      <c r="E23" s="21">
        <f>Assumptions!E16*Assumptions!E22*Assumptions!D6</f>
        <v/>
      </c>
      <c r="F23" s="8" t="inlineStr">
        <is>
          <t>TWh x 1e9 kWh x WUE(L/kWh) x gal/L / 1e9.</t>
        </is>
      </c>
    </row>
    <row r="24">
      <c r="A24" s="5" t="inlineStr">
        <is>
          <t xml:space="preserve">  2030 INDIRECT water (electricity generation)</t>
        </is>
      </c>
      <c r="B24" s="6" t="inlineStr">
        <is>
          <t>Bgal/yr</t>
        </is>
      </c>
      <c r="C24" s="21">
        <f>Assumptions!C16*Assumptions!C23*Assumptions!D6</f>
        <v/>
      </c>
      <c r="D24" s="21">
        <f>Assumptions!D16*Assumptions!D23*Assumptions!D6</f>
        <v/>
      </c>
      <c r="E24" s="21">
        <f>Assumptions!E16*Assumptions!E23*Assumptions!D6</f>
        <v/>
      </c>
      <c r="F24" s="8" t="inlineStr">
        <is>
          <t>TWh x 1e9 kWh x intensity(L/kWh) x gal/L / 1e9.</t>
        </is>
      </c>
    </row>
    <row r="25">
      <c r="A25" s="5" t="inlineStr">
        <is>
          <t xml:space="preserve">  2030 TOTAL (direct + indirect)</t>
        </is>
      </c>
      <c r="B25" s="6" t="inlineStr">
        <is>
          <t>Bgal/yr</t>
        </is>
      </c>
      <c r="C25" s="22">
        <f>C23+C24</f>
        <v/>
      </c>
      <c r="D25" s="22">
        <f>D23+D24</f>
        <v/>
      </c>
      <c r="E25" s="22">
        <f>E23+E24</f>
        <v/>
      </c>
    </row>
    <row r="27">
      <c r="A27" s="2" t="inlineStr">
        <is>
          <t>AI-marginal share</t>
        </is>
      </c>
    </row>
    <row r="28">
      <c r="A28" s="5" t="inlineStr">
        <is>
          <t>Method 1: incremental</t>
        </is>
      </c>
      <c r="B28" s="6" t="inlineStr">
        <is>
          <t>%</t>
        </is>
      </c>
      <c r="C28" s="23">
        <f>Assumptions!C26</f>
        <v/>
      </c>
      <c r="D28" s="23">
        <f>Assumptions!D26</f>
        <v/>
      </c>
      <c r="E28" s="23">
        <f>Assumptions!E26</f>
        <v/>
      </c>
    </row>
    <row r="29">
      <c r="A29" s="5" t="inlineStr">
        <is>
          <t>Method 2: attributional</t>
        </is>
      </c>
      <c r="B29" s="6" t="inlineStr">
        <is>
          <t>%</t>
        </is>
      </c>
      <c r="C29" s="23">
        <f>Assumptions!C27</f>
        <v/>
      </c>
      <c r="D29" s="23">
        <f>Assumptions!D27</f>
        <v/>
      </c>
      <c r="E29" s="23">
        <f>Assumptions!E27</f>
        <v/>
      </c>
    </row>
    <row r="30">
      <c r="A30" s="5" t="inlineStr">
        <is>
          <t>Method 3: build-specific</t>
        </is>
      </c>
      <c r="B30" s="6" t="inlineStr">
        <is>
          <t>%</t>
        </is>
      </c>
      <c r="C30" s="23">
        <f>Assumptions!C28</f>
        <v/>
      </c>
      <c r="D30" s="23">
        <f>Assumptions!D28</f>
        <v/>
      </c>
      <c r="E30" s="23">
        <f>Assumptions!E28</f>
        <v/>
      </c>
    </row>
    <row r="31">
      <c r="A31" s="5" t="inlineStr">
        <is>
          <t>Selected share (via ai_method)</t>
        </is>
      </c>
      <c r="B31" s="6" t="inlineStr">
        <is>
          <t>%</t>
        </is>
      </c>
      <c r="C31" s="24">
        <f>CHOOSE(Assumptions!D31,C28,C29,C30)</f>
        <v/>
      </c>
      <c r="D31" s="24">
        <f>CHOOSE(Assumptions!D31,D28,D29,D30)</f>
        <v/>
      </c>
      <c r="E31" s="24">
        <f>CHOOSE(Assumptions!D31,E28,E29,E30)</f>
        <v/>
      </c>
      <c r="F31" s="8" t="inlineStr">
        <is>
          <t>CHOOSE on ai_method selector.</t>
        </is>
      </c>
    </row>
    <row r="33">
      <c r="A33" s="2" t="inlineStr">
        <is>
          <t>Selected year (via proj_year selector)</t>
        </is>
      </c>
    </row>
    <row r="34">
      <c r="A34" s="5" t="inlineStr">
        <is>
          <t>Selected year</t>
        </is>
      </c>
      <c r="B34" s="6" t="inlineStr">
        <is>
          <t>yr</t>
        </is>
      </c>
      <c r="C34" s="25">
        <f>CHOOSE(Assumptions!D32,2023,2026,2028,2030)</f>
        <v/>
      </c>
      <c r="D34" s="25">
        <f>CHOOSE(Assumptions!D32,2023,2026,2028,2030)</f>
        <v/>
      </c>
      <c r="E34" s="25">
        <f>CHOOSE(Assumptions!D32,2023,2026,2028,2030)</f>
        <v/>
      </c>
    </row>
    <row r="35">
      <c r="A35" s="5" t="inlineStr">
        <is>
          <t>Selected DIRECT water</t>
        </is>
      </c>
      <c r="B35" s="6" t="inlineStr">
        <is>
          <t>Bgal/yr</t>
        </is>
      </c>
      <c r="C35" s="21">
        <f>CHOOSE(Assumptions!D32,C11,C15,C19,C23)</f>
        <v/>
      </c>
      <c r="D35" s="21">
        <f>CHOOSE(Assumptions!D32,D11,D15,D19,D23)</f>
        <v/>
      </c>
      <c r="E35" s="21">
        <f>CHOOSE(Assumptions!D32,E11,E15,E19,E23)</f>
        <v/>
      </c>
    </row>
    <row r="36">
      <c r="A36" s="5" t="inlineStr">
        <is>
          <t>Selected INDIRECT water</t>
        </is>
      </c>
      <c r="B36" s="6" t="inlineStr">
        <is>
          <t>Bgal/yr</t>
        </is>
      </c>
      <c r="C36" s="21">
        <f>CHOOSE(Assumptions!D32,C12,C16,C20,C24)</f>
        <v/>
      </c>
      <c r="D36" s="21">
        <f>CHOOSE(Assumptions!D32,D12,D16,D20,D24)</f>
        <v/>
      </c>
      <c r="E36" s="21">
        <f>CHOOSE(Assumptions!D32,E12,E16,E20,E24)</f>
        <v/>
      </c>
    </row>
    <row r="37">
      <c r="A37" s="5" t="inlineStr">
        <is>
          <t>Selected TOTAL water</t>
        </is>
      </c>
      <c r="B37" s="6" t="inlineStr">
        <is>
          <t>Bgal/yr</t>
        </is>
      </c>
      <c r="C37" s="22">
        <f>C35+C36</f>
        <v/>
      </c>
      <c r="D37" s="22">
        <f>D35+D36</f>
        <v/>
      </c>
      <c r="E37" s="22">
        <f>E35+E36</f>
        <v/>
      </c>
    </row>
  </sheetData>
  <mergeCells count="5">
    <mergeCell ref="A33:F33"/>
    <mergeCell ref="A1:F1"/>
    <mergeCell ref="A5:F5"/>
    <mergeCell ref="A9:F9"/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The 2x2: four data-center water figures vs one golf figure</t>
        </is>
      </c>
    </row>
    <row r="3">
      <c r="A3" s="26" t="inlineStr">
        <is>
          <t>Year:</t>
        </is>
      </c>
      <c r="B3" s="27">
        <f>Calculations!D34</f>
        <v/>
      </c>
      <c r="C3" s="26" t="inlineStr">
        <is>
          <t>AI share (selected):</t>
        </is>
      </c>
      <c r="E3" s="28">
        <f>Calculations!D31</f>
        <v/>
      </c>
      <c r="F3" s="26" t="inlineStr">
        <is>
          <t>Golf consumed (Bgal/yr):</t>
        </is>
      </c>
      <c r="G3" s="29">
        <f>Calculations!D7</f>
        <v/>
      </c>
    </row>
    <row r="4">
      <c r="A4" s="8" t="inlineStr">
        <is>
          <t>All figures billion gallons/year, consumption basis. Change proj_year / ai_method / golf_consumption_fraction / indirect_water_intensity on Assumptions to move everything below.</t>
        </is>
      </c>
    </row>
    <row r="6">
      <c r="A6" s="4" t="inlineStr">
        <is>
          <t>Data-center cell</t>
        </is>
      </c>
      <c r="B6" s="4" t="inlineStr">
        <is>
          <t>Basis</t>
        </is>
      </c>
      <c r="C6" s="4" t="inlineStr">
        <is>
          <t>Water Low</t>
        </is>
      </c>
      <c r="D6" s="4" t="inlineStr">
        <is>
          <t>Water Central</t>
        </is>
      </c>
      <c r="E6" s="4" t="inlineStr">
        <is>
          <t>Water High</t>
        </is>
      </c>
      <c r="F6" s="4" t="inlineStr"/>
      <c r="G6" s="4" t="inlineStr"/>
    </row>
    <row r="7">
      <c r="A7" s="26" t="inlineStr">
        <is>
          <t>Cell A: Direct only x Total footprint</t>
        </is>
      </c>
      <c r="B7" s="30" t="inlineStr">
        <is>
          <t>on-site cooling, all DCs</t>
        </is>
      </c>
      <c r="C7" s="31">
        <f>Calculations!C35</f>
        <v/>
      </c>
      <c r="D7" s="31">
        <f>Calculations!D35</f>
        <v/>
      </c>
      <c r="E7" s="31">
        <f>Calculations!E35</f>
        <v/>
      </c>
    </row>
    <row r="8">
      <c r="A8" s="26" t="inlineStr">
        <is>
          <t>Cell B: Direct only x AI-marginal</t>
        </is>
      </c>
      <c r="B8" s="30" t="inlineStr">
        <is>
          <t>on-site cooling, AI slice</t>
        </is>
      </c>
      <c r="C8" s="31">
        <f>Calculations!C35*Calculations!C31</f>
        <v/>
      </c>
      <c r="D8" s="31">
        <f>Calculations!D35*Calculations!D31</f>
        <v/>
      </c>
      <c r="E8" s="31">
        <f>Calculations!E35*Calculations!E31</f>
        <v/>
      </c>
    </row>
    <row r="9">
      <c r="A9" s="26" t="inlineStr">
        <is>
          <t>Cell C: Direct+indirect x Total footprint</t>
        </is>
      </c>
      <c r="B9" s="30" t="inlineStr">
        <is>
          <t>+ electricity water, all DCs</t>
        </is>
      </c>
      <c r="C9" s="31">
        <f>Calculations!C37</f>
        <v/>
      </c>
      <c r="D9" s="31">
        <f>Calculations!D37</f>
        <v/>
      </c>
      <c r="E9" s="31">
        <f>Calculations!E37</f>
        <v/>
      </c>
    </row>
    <row r="10">
      <c r="A10" s="26" t="inlineStr">
        <is>
          <t>Cell D: Direct+indirect x AI-marginal</t>
        </is>
      </c>
      <c r="B10" s="30" t="inlineStr">
        <is>
          <t>+ electricity water, AI slice</t>
        </is>
      </c>
      <c r="C10" s="31">
        <f>Calculations!C37*Calculations!C31</f>
        <v/>
      </c>
      <c r="D10" s="31">
        <f>Calculations!D37*Calculations!D31</f>
        <v/>
      </c>
      <c r="E10" s="31">
        <f>Calculations!E37*Calculations!E31</f>
        <v/>
      </c>
    </row>
    <row r="11">
      <c r="A11" s="26" t="inlineStr">
        <is>
          <t>Golf (consumed)</t>
        </is>
      </c>
      <c r="B11" s="30" t="inlineStr">
        <is>
          <t>reference</t>
        </is>
      </c>
      <c r="C11" s="32">
        <f>Calculations!C7</f>
        <v/>
      </c>
      <c r="D11" s="32">
        <f>Calculations!D7</f>
        <v/>
      </c>
      <c r="E11" s="32">
        <f>Calculations!E7</f>
        <v/>
      </c>
    </row>
    <row r="13">
      <c r="A13" s="2" t="inlineStr">
        <is>
          <t>Golf-to-data-center ratio per cell (golf consumption / DC cell)</t>
        </is>
      </c>
    </row>
    <row r="14">
      <c r="A14" s="4" t="inlineStr">
        <is>
          <t>Cell</t>
        </is>
      </c>
      <c r="B14" s="4" t="inlineStr">
        <is>
          <t>Ratio min</t>
        </is>
      </c>
      <c r="C14" s="4" t="inlineStr">
        <is>
          <t>Ratio central</t>
        </is>
      </c>
      <c r="D14" s="4" t="inlineStr">
        <is>
          <t>Ratio max</t>
        </is>
      </c>
      <c r="E14" s="4" t="inlineStr">
        <is>
          <t>Reading</t>
        </is>
      </c>
      <c r="F14" s="4" t="inlineStr"/>
      <c r="G14" s="4" t="inlineStr"/>
    </row>
    <row r="15">
      <c r="A15" s="26" t="inlineStr">
        <is>
          <t>Cell A</t>
        </is>
      </c>
      <c r="B15" s="33">
        <f>C11/E7</f>
        <v/>
      </c>
      <c r="C15" s="33">
        <f>D11/D7</f>
        <v/>
      </c>
      <c r="D15" s="33">
        <f>E11/C7</f>
        <v/>
      </c>
      <c r="E15" s="3">
        <f>IF(C15&lt;1,"FLIPS: DC can exceed golf",IF(D15&lt;1,"DC exceeds golf (central)","golf uses more"))</f>
        <v/>
      </c>
    </row>
    <row r="16">
      <c r="A16" s="26" t="inlineStr">
        <is>
          <t>Cell B</t>
        </is>
      </c>
      <c r="B16" s="33">
        <f>C11/E8</f>
        <v/>
      </c>
      <c r="C16" s="33">
        <f>D11/D8</f>
        <v/>
      </c>
      <c r="D16" s="33">
        <f>E11/C8</f>
        <v/>
      </c>
      <c r="E16" s="3">
        <f>IF(C16&lt;1,"FLIPS: DC can exceed golf",IF(D16&lt;1,"DC exceeds golf (central)","golf uses more"))</f>
        <v/>
      </c>
    </row>
    <row r="17">
      <c r="A17" s="26" t="inlineStr">
        <is>
          <t>Cell C</t>
        </is>
      </c>
      <c r="B17" s="33">
        <f>C11/E9</f>
        <v/>
      </c>
      <c r="C17" s="33">
        <f>D11/D9</f>
        <v/>
      </c>
      <c r="D17" s="33">
        <f>E11/C9</f>
        <v/>
      </c>
      <c r="E17" s="3">
        <f>IF(C17&lt;1,"FLIPS: DC can exceed golf",IF(D17&lt;1,"DC exceeds golf (central)","golf uses more"))</f>
        <v/>
      </c>
    </row>
    <row r="18">
      <c r="A18" s="26" t="inlineStr">
        <is>
          <t>Cell D</t>
        </is>
      </c>
      <c r="B18" s="33">
        <f>C11/E10</f>
        <v/>
      </c>
      <c r="C18" s="33">
        <f>D11/D10</f>
        <v/>
      </c>
      <c r="D18" s="33">
        <f>E11/C10</f>
        <v/>
      </c>
      <c r="E18" s="3">
        <f>IF(C18&lt;1,"FLIPS: DC can exceed golf",IF(D18&lt;1,"DC exceeds golf (central)","golf uses more"))</f>
        <v/>
      </c>
    </row>
    <row r="20">
      <c r="A20" s="8" t="inlineStr">
        <is>
          <t>Ratio min pairs the lowest plausible golf with the highest plausible DC (the corner most favorable to data centers). Ratio &gt; 1 means golf consumes more. The 'flip' question is whether any cell's min (or central) drops below 1.</t>
        </is>
      </c>
    </row>
  </sheetData>
  <mergeCells count="9">
    <mergeCell ref="A13:G13"/>
    <mergeCell ref="A1:G1"/>
    <mergeCell ref="A4:G4"/>
    <mergeCell ref="A20:G20"/>
    <mergeCell ref="E17:G17"/>
    <mergeCell ref="E15:G15"/>
    <mergeCell ref="E18:G18"/>
    <mergeCell ref="C3:D3"/>
    <mergeCell ref="E16:G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0" customWidth="1" min="3" max="3"/>
    <col width="34" customWidth="1" min="4" max="4"/>
    <col width="12" customWidth="1" min="5" max="5"/>
  </cols>
  <sheetData>
    <row r="1">
      <c r="A1" s="1" t="inlineStr">
        <is>
          <t>Both uses against US agriculture and total freshwater</t>
        </is>
      </c>
    </row>
    <row r="3">
      <c r="A3" s="4" t="inlineStr">
        <is>
          <t>Benchmark (US, annual)</t>
        </is>
      </c>
      <c r="B3" s="4" t="inlineStr">
        <is>
          <t>Bgal/year</t>
        </is>
      </c>
      <c r="C3" s="4" t="inlineStr"/>
      <c r="D3" s="4" t="inlineStr"/>
      <c r="E3" s="4" t="inlineStr"/>
    </row>
    <row r="4">
      <c r="A4" s="5" t="inlineStr">
        <is>
          <t>US irrigation CONSUMPTION</t>
        </is>
      </c>
      <c r="B4" s="34">
        <f>Assumptions!D35*365</f>
        <v/>
      </c>
      <c r="C4" s="30" t="inlineStr">
        <is>
          <t>USGS 2015: 73.2 Bgal/d. The consumption-basis ag benchmark.</t>
        </is>
      </c>
    </row>
    <row r="5">
      <c r="A5" s="5" t="inlineStr">
        <is>
          <t>US irrigation WITHDRAWALS</t>
        </is>
      </c>
      <c r="B5" s="34">
        <f>Assumptions!D36*365</f>
        <v/>
      </c>
      <c r="C5" s="30" t="inlineStr">
        <is>
          <t>USGS 2015: 118 Bgal/d. Withdrawal basis (for contrast).</t>
        </is>
      </c>
    </row>
    <row r="6">
      <c r="A6" s="5" t="inlineStr">
        <is>
          <t>US total freshwater WITHDRAWALS</t>
        </is>
      </c>
      <c r="B6" s="34">
        <f>Assumptions!D37*365</f>
        <v/>
      </c>
      <c r="C6" s="30" t="inlineStr">
        <is>
          <t>USGS 2015: 281 Bgal/d, all sectors.</t>
        </is>
      </c>
    </row>
    <row r="8">
      <c r="A8" s="2" t="inlineStr">
        <is>
          <t>Golf and data centers as a share of each benchmark</t>
        </is>
      </c>
    </row>
    <row r="9">
      <c r="A9" s="4" t="inlineStr">
        <is>
          <t>Use (Bgal/yr, central)</t>
        </is>
      </c>
      <c r="B9" s="4" t="inlineStr">
        <is>
          <t>Value</t>
        </is>
      </c>
      <c r="C9" s="4" t="inlineStr">
        <is>
          <t>% of US irrigation consumption</t>
        </is>
      </c>
      <c r="D9" s="4" t="inlineStr">
        <is>
          <t>% of US total freshwater withdrawals</t>
        </is>
      </c>
      <c r="E9" s="4" t="inlineStr"/>
    </row>
    <row r="10">
      <c r="A10" s="5" t="inlineStr">
        <is>
          <t>Golf (consumed)</t>
        </is>
      </c>
      <c r="B10" s="35">
        <f>Calculations!D7</f>
        <v/>
      </c>
      <c r="C10" s="36">
        <f>B10/B4</f>
        <v/>
      </c>
      <c r="D10" s="36">
        <f>B10/B6</f>
        <v/>
      </c>
    </row>
    <row r="11">
      <c r="A11" s="5" t="inlineStr">
        <is>
          <t>Data centers, total footprint (selected year)</t>
        </is>
      </c>
      <c r="B11" s="35">
        <f>Calculations!D37</f>
        <v/>
      </c>
      <c r="C11" s="36">
        <f>B11/B4</f>
        <v/>
      </c>
      <c r="D11" s="36">
        <f>B11/B6</f>
        <v/>
      </c>
    </row>
    <row r="12">
      <c r="A12" s="5" t="inlineStr">
        <is>
          <t>Data centers, direct only (selected year)</t>
        </is>
      </c>
      <c r="B12" s="35">
        <f>Calculations!D35</f>
        <v/>
      </c>
      <c r="C12" s="36">
        <f>B12/B4</f>
        <v/>
      </c>
      <c r="D12" s="36">
        <f>B12/B6</f>
        <v/>
      </c>
    </row>
    <row r="13">
      <c r="A13" s="5" t="inlineStr">
        <is>
          <t>Data centers, AI-marginal total (selected)</t>
        </is>
      </c>
      <c r="B13" s="35">
        <f>Calculations!D37*Calculations!D31</f>
        <v/>
      </c>
      <c r="C13" s="36">
        <f>B13/B4</f>
        <v/>
      </c>
      <c r="D13" s="36">
        <f>B13/B6</f>
        <v/>
      </c>
    </row>
    <row r="15">
      <c r="A15" s="8" t="inlineStr">
        <is>
          <t>Both discretionary uses are small against agriculture. Golf consumption is ~1.6% of US irrigation consumption; total data-center water (2023) is under 1%. Agriculture is the elephant; it is excluded as a comparator on purpose, because food is non-discretionary.</t>
        </is>
      </c>
    </row>
  </sheetData>
  <mergeCells count="6">
    <mergeCell ref="C5:E5"/>
    <mergeCell ref="A15:E15"/>
    <mergeCell ref="C4:E4"/>
    <mergeCell ref="A1:E1"/>
    <mergeCell ref="A8:E8"/>
    <mergeCell ref="C6:E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Economic value vs water: value per gallon, and the AI breakeven</t>
        </is>
      </c>
    </row>
    <row r="3">
      <c r="A3" s="8" t="inlineStr">
        <is>
          <t>Water is one side of the ledger; this is the other, what the water buys. Direct-revenue figures (narrow) are the cleaner numerator. The broad 'economic impact' totals are industry-commissioned and multiplier-heavy, so treat them as upper bounds. Recreation value and AI's promised productivity are both real and undercounted here. Value per gallon also structurally favors whatever is not water-hungry, which is most things next to turf.</t>
        </is>
      </c>
    </row>
    <row r="5">
      <c r="A5" s="4" t="inlineStr">
        <is>
          <t>Use</t>
        </is>
      </c>
      <c r="B5" s="4" t="inlineStr">
        <is>
          <t>Direct revenue ($B/yr)</t>
        </is>
      </c>
      <c r="C5" s="4" t="inlineStr">
        <is>
          <t>Broad impact ($B/yr)</t>
        </is>
      </c>
      <c r="D5" s="4" t="inlineStr">
        <is>
          <t>Water (Bgal/yr)</t>
        </is>
      </c>
      <c r="E5" s="4" t="inlineStr">
        <is>
          <t>Value/gal (narrow)</t>
        </is>
      </c>
      <c r="F5" s="4" t="inlineStr">
        <is>
          <t>Value/gal (broad)</t>
        </is>
      </c>
    </row>
    <row r="6">
      <c r="A6" s="37" t="inlineStr">
        <is>
          <t>Golf</t>
        </is>
      </c>
      <c r="B6" s="38">
        <f>Assumptions!D41</f>
        <v/>
      </c>
      <c r="C6" s="38">
        <f>Assumptions!D42</f>
        <v/>
      </c>
      <c r="D6" s="32">
        <f>Calculations!D7</f>
        <v/>
      </c>
      <c r="E6" s="39">
        <f>B6/D6</f>
        <v/>
      </c>
      <c r="F6" s="40">
        <f>C6/D6</f>
        <v/>
      </c>
    </row>
    <row r="7">
      <c r="A7" s="41" t="inlineStr">
        <is>
          <t>Data centers (total footprint, 2023)</t>
        </is>
      </c>
      <c r="B7" s="42">
        <f>Assumptions!D43</f>
        <v/>
      </c>
      <c r="C7" s="42">
        <f>Assumptions!D44</f>
        <v/>
      </c>
      <c r="D7" s="31">
        <f>Calculations!D13</f>
        <v/>
      </c>
      <c r="E7" s="43">
        <f>B7/D7</f>
        <v/>
      </c>
      <c r="F7" s="44">
        <f>C7/D7</f>
        <v/>
      </c>
    </row>
    <row r="8">
      <c r="A8" s="41" t="inlineStr">
        <is>
          <t>AI-marginal (attributional ~23%)</t>
        </is>
      </c>
      <c r="B8" s="45">
        <f>Assumptions!D45</f>
        <v/>
      </c>
      <c r="C8" s="46" t="inlineStr">
        <is>
          <t>n/a</t>
        </is>
      </c>
      <c r="D8" s="31">
        <f>Calculations!D13*Assumptions!D27</f>
        <v/>
      </c>
      <c r="E8" s="43">
        <f>B8/D8</f>
        <v/>
      </c>
      <c r="F8" s="46" t="inlineStr">
        <is>
          <t>n/a</t>
        </is>
      </c>
    </row>
    <row r="10">
      <c r="A10" s="2" t="inlineStr">
        <is>
          <t>Value per gallon: data centers vs golf</t>
        </is>
      </c>
    </row>
    <row r="11">
      <c r="A11" s="5" t="inlineStr">
        <is>
          <t>Data centers vs golf, value per gallon (narrow basis)</t>
        </is>
      </c>
      <c r="B11" s="33">
        <f>E7/E6</f>
        <v/>
      </c>
    </row>
    <row r="12">
      <c r="A12" s="5" t="inlineStr">
        <is>
          <t>Data centers vs golf, value per gallon (broad basis)</t>
        </is>
      </c>
      <c r="B12" s="33">
        <f>F7/F6</f>
        <v/>
      </c>
    </row>
    <row r="13">
      <c r="A13" s="5" t="inlineStr">
        <is>
          <t>Golf's water lead (gallons), for contrast</t>
        </is>
      </c>
      <c r="B13" s="33">
        <f>D6/D7</f>
        <v/>
      </c>
    </row>
    <row r="14">
      <c r="A14" s="8" t="inlineStr">
        <is>
          <t>Golf consumes nearly twice the water and produces about a tenth the revenue per gallon. The gallons fight and the value-per-gallon fight point opposite ways.</t>
        </is>
      </c>
    </row>
    <row r="16">
      <c r="A16" s="47" t="inlineStr">
        <is>
          <t>Breakeven: value needed to match golf's value per gallon (narrow)</t>
        </is>
      </c>
    </row>
    <row r="17">
      <c r="A17" s="5" t="inlineStr">
        <is>
          <t>Value data centers must produce to match golf $/gal</t>
        </is>
      </c>
      <c r="B17" s="48">
        <f>E6*D7</f>
        <v/>
      </c>
    </row>
    <row r="18">
      <c r="A18" s="5" t="inlineStr">
        <is>
          <t>Data centers actual (direct revenue)</t>
        </is>
      </c>
      <c r="B18" s="48">
        <f>B7</f>
        <v/>
      </c>
    </row>
    <row r="19">
      <c r="A19" s="5" t="inlineStr">
        <is>
          <t>Data centers clear the bar by</t>
        </is>
      </c>
      <c r="B19" s="33">
        <f>B18/B17</f>
        <v/>
      </c>
    </row>
    <row r="20">
      <c r="A20" s="5" t="inlineStr">
        <is>
          <t>Value AI-marginal must produce to match golf $/gal</t>
        </is>
      </c>
      <c r="B20" s="48">
        <f>E6*D8</f>
        <v/>
      </c>
    </row>
    <row r="21">
      <c r="A21" s="5" t="inlineStr">
        <is>
          <t>AI-marginal actual (US gen-AI revenue)</t>
        </is>
      </c>
      <c r="B21" s="48">
        <f>B8</f>
        <v/>
      </c>
    </row>
    <row r="22">
      <c r="A22" s="5" t="inlineStr">
        <is>
          <t>AI clears the bar by</t>
        </is>
      </c>
      <c r="B22" s="33">
        <f>B21/B20</f>
        <v/>
      </c>
    </row>
    <row r="23">
      <c r="A23" s="8" t="inlineStr">
        <is>
          <t>The line to clear is low and already passed. Even AI alone, on its small contested slice, earns several times what golf's water productivity would require.</t>
        </is>
      </c>
    </row>
  </sheetData>
  <mergeCells count="6">
    <mergeCell ref="A16:F16"/>
    <mergeCell ref="A10:F10"/>
    <mergeCell ref="A14:F14"/>
    <mergeCell ref="A1:F1"/>
    <mergeCell ref="A23:F23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What moves the headline ratio, and what can flip it</t>
        </is>
      </c>
    </row>
    <row r="3">
      <c r="A3" s="8" t="inlineStr">
        <is>
          <t>Headline cell = Cell C (direct+indirect x total footprint), the framing where the popular claim is most fragile. Ratio = golf consumption / DC total. &gt;1 means golf leads. Each block below moves ONE assumption and holds the rest at central.</t>
        </is>
      </c>
    </row>
    <row r="5">
      <c r="A5" s="2" t="inlineStr">
        <is>
          <t>1. Golf ET consumption fraction (vs DC total, 2023 central)</t>
        </is>
      </c>
    </row>
    <row r="6">
      <c r="A6" s="4" t="inlineStr">
        <is>
          <t>Fraction</t>
        </is>
      </c>
      <c r="B6" s="4" t="inlineStr">
        <is>
          <t>Golf consumed (Bgal)</t>
        </is>
      </c>
      <c r="C6" s="4" t="inlineStr">
        <is>
          <t>DC total 2023 (Bgal)</t>
        </is>
      </c>
      <c r="D6" s="4" t="inlineStr">
        <is>
          <t>Ratio</t>
        </is>
      </c>
      <c r="E6" s="4" t="inlineStr">
        <is>
          <t>Flips?</t>
        </is>
      </c>
      <c r="F6" s="4" t="inlineStr"/>
    </row>
    <row r="7">
      <c r="A7" s="49" t="n">
        <v>0.7</v>
      </c>
      <c r="B7" s="35">
        <f>Calculations!D6*0.7</f>
        <v/>
      </c>
      <c r="C7" s="35">
        <f>Calculations!D13</f>
        <v/>
      </c>
      <c r="D7" s="33">
        <f>B7/C7</f>
        <v/>
      </c>
      <c r="E7" s="6">
        <f>IF(D7&lt;1,"YES","no")</f>
        <v/>
      </c>
    </row>
    <row r="8">
      <c r="A8" s="49" t="n">
        <v>0.8</v>
      </c>
      <c r="B8" s="35">
        <f>Calculations!D6*0.8</f>
        <v/>
      </c>
      <c r="C8" s="35">
        <f>Calculations!D13</f>
        <v/>
      </c>
      <c r="D8" s="33">
        <f>B8/C8</f>
        <v/>
      </c>
      <c r="E8" s="6">
        <f>IF(D8&lt;1,"YES","no")</f>
        <v/>
      </c>
    </row>
    <row r="9">
      <c r="A9" s="49" t="n">
        <v>0.9</v>
      </c>
      <c r="B9" s="35">
        <f>Calculations!D6*0.9</f>
        <v/>
      </c>
      <c r="C9" s="35">
        <f>Calculations!D13</f>
        <v/>
      </c>
      <c r="D9" s="33">
        <f>B9/C9</f>
        <v/>
      </c>
      <c r="E9" s="6">
        <f>IF(D9&lt;1,"YES","no")</f>
        <v/>
      </c>
    </row>
    <row r="10">
      <c r="A10" s="8" t="inlineStr">
        <is>
          <t>Golf fraction never flips the comparison: across 70-90% golf stays ~360-490 Bgal. Not a lever.</t>
        </is>
      </c>
    </row>
    <row r="12">
      <c r="A12" s="2" t="inlineStr">
        <is>
          <t>2. Indirect water on/off (the basis-mismatch correction), 2023 central</t>
        </is>
      </c>
    </row>
    <row r="13">
      <c r="A13" s="4" t="inlineStr">
        <is>
          <t>DC basis</t>
        </is>
      </c>
      <c r="B13" s="4" t="inlineStr">
        <is>
          <t>DC water (Bgal)</t>
        </is>
      </c>
      <c r="C13" s="4" t="inlineStr">
        <is>
          <t>Golf (Bgal)</t>
        </is>
      </c>
      <c r="D13" s="4" t="inlineStr">
        <is>
          <t>Ratio</t>
        </is>
      </c>
      <c r="E13" s="4" t="inlineStr">
        <is>
          <t>Flips?</t>
        </is>
      </c>
      <c r="F13" s="4" t="inlineStr"/>
    </row>
    <row r="14">
      <c r="A14" s="5" t="inlineStr">
        <is>
          <t>Direct only</t>
        </is>
      </c>
      <c r="B14" s="35">
        <f>Calculations!D11</f>
        <v/>
      </c>
      <c r="C14" s="35">
        <f>Calculations!D7</f>
        <v/>
      </c>
      <c r="D14" s="33">
        <f>C14/B14</f>
        <v/>
      </c>
      <c r="E14" s="6">
        <f>IF(D14&lt;1,"YES","no")</f>
        <v/>
      </c>
    </row>
    <row r="15">
      <c r="A15" s="5" t="inlineStr">
        <is>
          <t>Direct + indirect</t>
        </is>
      </c>
      <c r="B15" s="35">
        <f>Calculations!D13</f>
        <v/>
      </c>
      <c r="C15" s="35">
        <f>Calculations!D7</f>
        <v/>
      </c>
      <c r="D15" s="33">
        <f>C15/B15</f>
        <v/>
      </c>
      <c r="E15" s="6">
        <f>IF(D15&lt;1,"YES","no")</f>
        <v/>
      </c>
    </row>
    <row r="16">
      <c r="A16" s="8" t="inlineStr">
        <is>
          <t>Counting electricity water collapses golf's lead from ~24x (direct only) to ~2x. This is the single biggest correction to the popular comparison.</t>
        </is>
      </c>
    </row>
    <row r="18">
      <c r="A18" s="2" t="inlineStr">
        <is>
          <t>3. Indirect water intensity: marginal vs grid-average (2023, total footprint)</t>
        </is>
      </c>
    </row>
    <row r="19">
      <c r="A19" s="4" t="inlineStr">
        <is>
          <t>Intensity (L/kWh)</t>
        </is>
      </c>
      <c r="B19" s="4" t="inlineStr">
        <is>
          <t>DC total (Bgal)</t>
        </is>
      </c>
      <c r="C19" s="4" t="inlineStr">
        <is>
          <t>Golf (Bgal)</t>
        </is>
      </c>
      <c r="D19" s="4" t="inlineStr">
        <is>
          <t>Ratio</t>
        </is>
      </c>
      <c r="E19" s="4" t="inlineStr">
        <is>
          <t>Flips?</t>
        </is>
      </c>
      <c r="F19" s="4" t="inlineStr"/>
    </row>
    <row r="20">
      <c r="A20" s="5" t="inlineStr">
        <is>
          <t>0.80 (marginal gas/renew.)</t>
        </is>
      </c>
      <c r="B20" s="35">
        <f>Calculations!D11+Assumptions!D13*0.8*Assumptions!D6</f>
        <v/>
      </c>
      <c r="C20" s="35">
        <f>Calculations!D7</f>
        <v/>
      </c>
      <c r="D20" s="33">
        <f>C20/B20</f>
        <v/>
      </c>
      <c r="E20" s="6">
        <f>IF(D20&lt;1,"YES","no")</f>
        <v/>
      </c>
    </row>
    <row r="21">
      <c r="A21" s="5" t="inlineStr">
        <is>
          <t>2.50 (thermoelectric avg)</t>
        </is>
      </c>
      <c r="B21" s="35">
        <f>Calculations!D11+Assumptions!D13*2.5*Assumptions!D6</f>
        <v/>
      </c>
      <c r="C21" s="35">
        <f>Calculations!D7</f>
        <v/>
      </c>
      <c r="D21" s="33">
        <f>C21/B21</f>
        <v/>
      </c>
      <c r="E21" s="6">
        <f>IF(D21&lt;1,"YES","no")</f>
        <v/>
      </c>
    </row>
    <row r="22">
      <c r="A22" s="5" t="inlineStr">
        <is>
          <t>4.52 (LBNL grid avg, incl. hydro)</t>
        </is>
      </c>
      <c r="B22" s="35">
        <f>Calculations!D11+Assumptions!D13*4.52*Assumptions!D6</f>
        <v/>
      </c>
      <c r="C22" s="35">
        <f>Calculations!D7</f>
        <v/>
      </c>
      <c r="D22" s="33">
        <f>C22/B22</f>
        <v/>
      </c>
      <c r="E22" s="6">
        <f>IF(D22&lt;1,"YES","no")</f>
        <v/>
      </c>
    </row>
    <row r="23">
      <c r="A23" s="5" t="inlineStr">
        <is>
          <t>6.00 (hydro/coal-heavy)</t>
        </is>
      </c>
      <c r="B23" s="35">
        <f>Calculations!D11+Assumptions!D13*6.0*Assumptions!D6</f>
        <v/>
      </c>
      <c r="C23" s="35">
        <f>Calculations!D7</f>
        <v/>
      </c>
      <c r="D23" s="33">
        <f>C23/B23</f>
        <v/>
      </c>
      <c r="E23" s="6">
        <f>IF(D23&lt;1,"YES","no")</f>
        <v/>
      </c>
    </row>
    <row r="24">
      <c r="A24" s="8" t="inlineStr">
        <is>
          <t>Even at the highest grid-average intensity, golf still leads at 2023 scale. Intensity alone does not flip the present-day comparison; it sets how fast growth closes the gap.</t>
        </is>
      </c>
    </row>
    <row r="26">
      <c r="A26" s="2" t="inlineStr">
        <is>
          <t>4. AI-attribution method (AI-marginal total water, 2023 central)</t>
        </is>
      </c>
    </row>
    <row r="27">
      <c r="A27" s="4" t="inlineStr">
        <is>
          <t>Method</t>
        </is>
      </c>
      <c r="B27" s="4" t="inlineStr">
        <is>
          <t>AI share</t>
        </is>
      </c>
      <c r="C27" s="4" t="inlineStr">
        <is>
          <t>AI-marginal DC (Bgal)</t>
        </is>
      </c>
      <c r="D27" s="4" t="inlineStr">
        <is>
          <t>Golf (Bgal)</t>
        </is>
      </c>
      <c r="E27" s="4" t="inlineStr">
        <is>
          <t>Ratio</t>
        </is>
      </c>
      <c r="F27" s="4" t="inlineStr">
        <is>
          <t>Flips?</t>
        </is>
      </c>
    </row>
    <row r="28">
      <c r="A28" s="5" t="inlineStr">
        <is>
          <t>Incremental</t>
        </is>
      </c>
      <c r="B28" s="50">
        <f>Calculations!D28</f>
        <v/>
      </c>
      <c r="C28" s="35">
        <f>Calculations!D13*Calculations!D28</f>
        <v/>
      </c>
      <c r="D28" s="35">
        <f>Calculations!D7</f>
        <v/>
      </c>
      <c r="E28" s="33">
        <f>D28/C28</f>
        <v/>
      </c>
      <c r="F28" s="6">
        <f>IF(E28&lt;1,"YES","no")</f>
        <v/>
      </c>
    </row>
    <row r="29">
      <c r="A29" s="5" t="inlineStr">
        <is>
          <t>Attributional</t>
        </is>
      </c>
      <c r="B29" s="50">
        <f>Calculations!D29</f>
        <v/>
      </c>
      <c r="C29" s="35">
        <f>Calculations!D13*Calculations!D29</f>
        <v/>
      </c>
      <c r="D29" s="35">
        <f>Calculations!D7</f>
        <v/>
      </c>
      <c r="E29" s="33">
        <f>D29/C29</f>
        <v/>
      </c>
      <c r="F29" s="6">
        <f>IF(E29&lt;1,"YES","no")</f>
        <v/>
      </c>
    </row>
    <row r="30">
      <c r="A30" s="5" t="inlineStr">
        <is>
          <t>Build-specific</t>
        </is>
      </c>
      <c r="B30" s="50">
        <f>Calculations!D30</f>
        <v/>
      </c>
      <c r="C30" s="35">
        <f>Calculations!D13*Calculations!D30</f>
        <v/>
      </c>
      <c r="D30" s="35">
        <f>Calculations!D7</f>
        <v/>
      </c>
      <c r="E30" s="33">
        <f>D30/C30</f>
        <v/>
      </c>
      <c r="F30" s="6">
        <f>IF(E30&lt;1,"YES","no")</f>
        <v/>
      </c>
    </row>
    <row r="31">
      <c r="A31" s="8" t="inlineStr">
        <is>
          <t>At 2023 scale, AI-specific water is a small fraction of golf under every method.</t>
        </is>
      </c>
    </row>
    <row r="33">
      <c r="A33" s="47" t="inlineStr">
        <is>
          <t>5. Projection year (total footprint, central) -- the variable that flips it</t>
        </is>
      </c>
    </row>
    <row r="34">
      <c r="A34" s="4" t="inlineStr">
        <is>
          <t>Year</t>
        </is>
      </c>
      <c r="B34" s="4" t="inlineStr">
        <is>
          <t>DC total (Bgal)</t>
        </is>
      </c>
      <c r="C34" s="4" t="inlineStr">
        <is>
          <t>Golf (Bgal)</t>
        </is>
      </c>
      <c r="D34" s="4" t="inlineStr">
        <is>
          <t>Ratio</t>
        </is>
      </c>
      <c r="E34" s="4" t="inlineStr">
        <is>
          <t>Flips?</t>
        </is>
      </c>
      <c r="F34" s="4" t="inlineStr"/>
    </row>
    <row r="35">
      <c r="A35" s="51" t="n">
        <v>2023</v>
      </c>
      <c r="B35" s="35">
        <f>Calculations!D13</f>
        <v/>
      </c>
      <c r="C35" s="35">
        <f>Calculations!D7</f>
        <v/>
      </c>
      <c r="D35" s="33">
        <f>C35/B35</f>
        <v/>
      </c>
      <c r="E35" s="6">
        <f>IF(D35&lt;1,"YES","no")</f>
        <v/>
      </c>
    </row>
    <row r="36">
      <c r="A36" s="51" t="n">
        <v>2026</v>
      </c>
      <c r="B36" s="35">
        <f>Calculations!D17</f>
        <v/>
      </c>
      <c r="C36" s="35">
        <f>Calculations!D7</f>
        <v/>
      </c>
      <c r="D36" s="33">
        <f>C36/B36</f>
        <v/>
      </c>
      <c r="E36" s="6">
        <f>IF(D36&lt;1,"YES","no")</f>
        <v/>
      </c>
    </row>
    <row r="37">
      <c r="A37" s="52" t="n">
        <v>2028</v>
      </c>
      <c r="B37" s="53">
        <f>Calculations!D21</f>
        <v/>
      </c>
      <c r="C37" s="53">
        <f>Calculations!D7</f>
        <v/>
      </c>
      <c r="D37" s="54">
        <f>C37/B37</f>
        <v/>
      </c>
      <c r="E37" s="55">
        <f>IF(D37&lt;1,"YES","no")</f>
        <v/>
      </c>
    </row>
    <row r="38">
      <c r="A38" s="52" t="n">
        <v>2030</v>
      </c>
      <c r="B38" s="53">
        <f>Calculations!D25</f>
        <v/>
      </c>
      <c r="C38" s="53">
        <f>Calculations!D7</f>
        <v/>
      </c>
      <c r="D38" s="54">
        <f>C38/B38</f>
        <v/>
      </c>
      <c r="E38" s="55">
        <f>IF(D38&lt;1,"YES","no")</f>
        <v/>
      </c>
    </row>
    <row r="39">
      <c r="A39" s="8" t="inlineStr">
        <is>
          <t>Golf is flat-to-declining; data-center water is compounding ~20%/yr. Under the central grid-average intensity, total DC water consumption overtakes golf between 2026 and 2028. This is the assumption that flips the comparison: not how golf or AI is measured, but TIME.</t>
        </is>
      </c>
    </row>
  </sheetData>
  <mergeCells count="12">
    <mergeCell ref="A24:F24"/>
    <mergeCell ref="A16:F16"/>
    <mergeCell ref="A33:F33"/>
    <mergeCell ref="A10:F10"/>
    <mergeCell ref="A1:F1"/>
    <mergeCell ref="A5:F5"/>
    <mergeCell ref="A31:F31"/>
    <mergeCell ref="A26:F26"/>
    <mergeCell ref="A12:F12"/>
    <mergeCell ref="A18:F18"/>
    <mergeCell ref="A3:F3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2026-05-31T19:36:58Z</dcterms:created>
  <dcterms:modified xsi:type="dcterms:W3CDTF">2026-05-31T19:36:58Z</dcterms:modified>
</cp:coreProperties>
</file>