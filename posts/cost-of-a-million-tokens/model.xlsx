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Cost Build" sheetId="3" state="visible" r:id="rId3"/>
    <sheet name="Revenue Build" sheetId="4" state="visible" r:id="rId4"/>
    <sheet name="Unit Economics" sheetId="5" state="visible" r:id="rId5"/>
    <sheet name="Sensitivity" sheetId="6" state="visible" r:id="rId6"/>
    <sheet name="Build vs Rent" sheetId="7" state="visible" r:id="rId7"/>
    <sheet name="Breakeven" sheetId="8" state="visible" r:id="rId8"/>
    <sheet name="No-Subsidy Pricing" sheetId="9" state="visible" r:id="rId9"/>
    <sheet name="Implicit Demand" sheetId="10" state="visible" r:id="rId10"/>
    <sheet name="Plausibility" sheetId="11" state="visible" r:id="rId11"/>
    <sheet name="Capex Perspective" sheetId="12" state="visible" r:id="rId12"/>
    <sheet name="Stacks - Pre Announcement" sheetId="13" state="visible" r:id="rId13"/>
    <sheet name="Stacks - Post Announcemen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4">
    <numFmt numFmtId="164" formatCode="$#,##0;($#,##0);-"/>
    <numFmt numFmtId="165" formatCode="0.0%"/>
    <numFmt numFmtId="166" formatCode="$#,##0.00"/>
    <numFmt numFmtId="167" formatCode="0.0"/>
    <numFmt numFmtId="168" formatCode="$#,##0"/>
    <numFmt numFmtId="169" formatCode="#,##0.0"/>
    <numFmt numFmtId="170" formatCode="$#,##0.0"/>
    <numFmt numFmtId="171" formatCode="$#,##0.00;($#,##0.00);-"/>
    <numFmt numFmtId="172" formatCode="0.0%;(0.0%);-"/>
    <numFmt numFmtId="173" formatCode="$#,##0.0000"/>
    <numFmt numFmtId="174" formatCode="$#,##0.0000;($#,##0.0000);-"/>
    <numFmt numFmtId="175" formatCode="0.0&quot;x&quot;"/>
    <numFmt numFmtId="176" formatCode="#,##0.0&quot; bps&quot;"/>
    <numFmt numFmtId="177" formatCode="0.00&quot;x&quot;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FFFFFF"/>
      <sz val="11"/>
    </font>
    <font>
      <name val="Arial"/>
      <i val="1"/>
      <color rgb="00595959"/>
      <sz val="9"/>
    </font>
    <font>
      <name val="Arial"/>
      <b val="1"/>
      <sz val="12"/>
    </font>
    <font>
      <name val="Arial"/>
      <b val="1"/>
      <i val="1"/>
      <color rgb="00C00000"/>
      <sz val="10"/>
    </font>
  </fonts>
  <fills count="12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FD966"/>
      </patternFill>
    </fill>
    <fill>
      <patternFill patternType="solid">
        <fgColor rgb="00F4B084"/>
      </patternFill>
    </fill>
    <fill>
      <patternFill patternType="solid">
        <fgColor rgb="00FFF0F0"/>
      </patternFill>
    </fill>
    <fill>
      <patternFill patternType="solid">
        <fgColor rgb="00E8F0FE"/>
      </patternFill>
    </fill>
    <fill>
      <patternFill patternType="solid">
        <fgColor rgb="00F0E8E8"/>
      </patternFill>
    </fill>
    <fill>
      <patternFill patternType="solid">
        <fgColor rgb="00E8F0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0" fontId="7" fillId="3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right" vertical="center"/>
    </xf>
    <xf numFmtId="1" fontId="4" fillId="2" borderId="0" applyAlignment="1" pivotButton="0" quotePrefix="0" xfId="0">
      <alignment horizontal="right" vertical="center"/>
    </xf>
    <xf numFmtId="3" fontId="4" fillId="2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5" fontId="4" fillId="2" borderId="0" applyAlignment="1" pivotButton="0" quotePrefix="0" xfId="0">
      <alignment horizontal="right" vertical="center"/>
    </xf>
    <xf numFmtId="168" fontId="4" fillId="2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0" fontId="8" fillId="0" borderId="0" pivotButton="0" quotePrefix="0" xfId="0"/>
    <xf numFmtId="164" fontId="6" fillId="0" borderId="0" pivotButton="0" quotePrefix="0" xfId="0"/>
    <xf numFmtId="1" fontId="6" fillId="0" borderId="0" pivotButton="0" quotePrefix="0" xfId="0"/>
    <xf numFmtId="169" fontId="5" fillId="0" borderId="0" pivotButton="0" quotePrefix="0" xfId="0"/>
    <xf numFmtId="171" fontId="3" fillId="5" borderId="0" pivotButton="0" quotePrefix="0" xfId="0"/>
    <xf numFmtId="166" fontId="5" fillId="0" borderId="0" pivotButton="0" quotePrefix="0" xfId="0"/>
    <xf numFmtId="3" fontId="6" fillId="0" borderId="0" pivotButton="0" quotePrefix="0" xfId="0"/>
    <xf numFmtId="166" fontId="3" fillId="5" borderId="0" pivotButton="0" quotePrefix="0" xfId="0"/>
    <xf numFmtId="168" fontId="5" fillId="0" borderId="0" pivotButton="0" quotePrefix="0" xfId="0"/>
    <xf numFmtId="168" fontId="6" fillId="0" borderId="0" pivotButton="0" quotePrefix="0" xfId="0"/>
    <xf numFmtId="0" fontId="9" fillId="6" borderId="0" pivotButton="0" quotePrefix="0" xfId="0"/>
    <xf numFmtId="166" fontId="9" fillId="6" borderId="0" pivotButton="0" quotePrefix="0" xfId="0"/>
    <xf numFmtId="0" fontId="9" fillId="7" borderId="0" pivotButton="0" quotePrefix="0" xfId="0"/>
    <xf numFmtId="166" fontId="9" fillId="7" borderId="0" pivotButton="0" quotePrefix="0" xfId="0"/>
    <xf numFmtId="165" fontId="5" fillId="0" borderId="0" pivotButton="0" quotePrefix="0" xfId="0"/>
    <xf numFmtId="169" fontId="6" fillId="0" borderId="0" pivotButton="0" quotePrefix="0" xfId="0"/>
    <xf numFmtId="166" fontId="6" fillId="0" borderId="0" pivotButton="0" quotePrefix="0" xfId="0"/>
    <xf numFmtId="168" fontId="3" fillId="5" borderId="0" pivotButton="0" quotePrefix="0" xfId="0"/>
    <xf numFmtId="168" fontId="9" fillId="6" borderId="0" pivotButton="0" quotePrefix="0" xfId="0"/>
    <xf numFmtId="172" fontId="3" fillId="5" borderId="0" pivotButton="0" quotePrefix="0" xfId="0"/>
    <xf numFmtId="173" fontId="5" fillId="0" borderId="0" pivotButton="0" quotePrefix="0" xfId="0"/>
    <xf numFmtId="174" fontId="3" fillId="5" borderId="0" pivotButton="0" quotePrefix="0" xfId="0"/>
    <xf numFmtId="164" fontId="3" fillId="5" borderId="0" pivotButton="0" quotePrefix="0" xfId="0"/>
    <xf numFmtId="0" fontId="0" fillId="0" borderId="0" applyAlignment="1" pivotButton="0" quotePrefix="0" xfId="0">
      <alignment wrapText="1"/>
    </xf>
    <xf numFmtId="0" fontId="2" fillId="6" borderId="0" pivotButton="0" quotePrefix="0" xfId="0"/>
    <xf numFmtId="166" fontId="2" fillId="6" borderId="0" pivotButton="0" quotePrefix="0" xfId="0"/>
    <xf numFmtId="0" fontId="2" fillId="7" borderId="0" pivotButton="0" quotePrefix="0" xfId="0"/>
    <xf numFmtId="166" fontId="2" fillId="7" borderId="0" pivotButton="0" quotePrefix="0" xfId="0"/>
    <xf numFmtId="170" fontId="3" fillId="0" borderId="0" pivotButton="0" quotePrefix="0" xfId="0"/>
    <xf numFmtId="175" fontId="3" fillId="5" borderId="0" pivotButton="0" quotePrefix="0" xfId="0"/>
    <xf numFmtId="169" fontId="3" fillId="5" borderId="0" pivotButton="0" quotePrefix="0" xfId="0"/>
    <xf numFmtId="165" fontId="3" fillId="5" borderId="0" pivotButton="0" quotePrefix="0" xfId="0"/>
    <xf numFmtId="0" fontId="3" fillId="0" borderId="0" applyAlignment="1" pivotButton="0" quotePrefix="0" xfId="0">
      <alignment horizontal="right" vertical="center"/>
    </xf>
    <xf numFmtId="169" fontId="5" fillId="0" borderId="0" applyAlignment="1" pivotButton="0" quotePrefix="0" xfId="0">
      <alignment horizontal="right" vertical="center"/>
    </xf>
    <xf numFmtId="3" fontId="5" fillId="0" borderId="0" pivotButton="0" quotePrefix="0" xfId="0"/>
    <xf numFmtId="170" fontId="5" fillId="0" borderId="0" pivotButton="0" quotePrefix="0" xfId="0"/>
    <xf numFmtId="170" fontId="3" fillId="5" borderId="0" pivotButton="0" quotePrefix="0" xfId="0"/>
    <xf numFmtId="169" fontId="9" fillId="6" borderId="0" pivotButton="0" quotePrefix="0" xfId="0"/>
    <xf numFmtId="170" fontId="6" fillId="0" borderId="0" pivotButton="0" quotePrefix="0" xfId="0"/>
    <xf numFmtId="175" fontId="6" fillId="5" borderId="0" pivotButton="0" quotePrefix="0" xfId="0"/>
    <xf numFmtId="176" fontId="3" fillId="5" borderId="0" pivotButton="0" quotePrefix="0" xfId="0"/>
    <xf numFmtId="10" fontId="3" fillId="5" borderId="0" pivotButton="0" quotePrefix="0" xfId="0"/>
    <xf numFmtId="165" fontId="6" fillId="0" borderId="0" pivotButton="0" quotePrefix="0" xfId="0"/>
    <xf numFmtId="3" fontId="3" fillId="5" borderId="0" pivotButton="0" quotePrefix="0" xfId="0"/>
    <xf numFmtId="0" fontId="10" fillId="8" borderId="0" applyAlignment="1" pivotButton="0" quotePrefix="0" xfId="0">
      <alignment vertical="center" wrapText="1"/>
    </xf>
    <xf numFmtId="0" fontId="3" fillId="9" borderId="0" pivotButton="0" quotePrefix="0" xfId="0"/>
    <xf numFmtId="0" fontId="5" fillId="0" borderId="0" applyAlignment="1" pivotButton="0" quotePrefix="0" xfId="0">
      <alignment wrapText="1"/>
    </xf>
    <xf numFmtId="0" fontId="3" fillId="10" borderId="0" pivotButton="0" quotePrefix="0" xfId="0"/>
    <xf numFmtId="0" fontId="3" fillId="11" borderId="0" pivotButton="0" quotePrefix="0" xfId="0"/>
    <xf numFmtId="177" fontId="4" fillId="9" borderId="0" applyAlignment="1" pivotButton="0" quotePrefix="0" xfId="0">
      <alignment horizontal="center" vertical="center"/>
    </xf>
    <xf numFmtId="177" fontId="4" fillId="10" borderId="0" applyAlignment="1" pivotButton="0" quotePrefix="0" xfId="0">
      <alignment horizontal="center" vertical="center"/>
    </xf>
    <xf numFmtId="177" fontId="4" fillId="11" borderId="0" applyAlignment="1" pivotButton="0" quotePrefix="0" xfId="0">
      <alignment horizontal="center" vertical="center"/>
    </xf>
    <xf numFmtId="0" fontId="8" fillId="0" borderId="0" applyAlignment="1" pivotButton="0" quotePrefix="0" xfId="0">
      <alignment wrapText="1"/>
    </xf>
    <xf numFmtId="9" fontId="3" fillId="0" borderId="0" applyAlignment="1" pivotButton="0" quotePrefix="0" xfId="0">
      <alignment horizontal="center" vertical="center"/>
    </xf>
    <xf numFmtId="165" fontId="3" fillId="5" borderId="0" applyAlignment="1" pivotButton="0" quotePrefix="0" xfId="0">
      <alignment horizontal="center" vertical="center"/>
    </xf>
    <xf numFmtId="172" fontId="5" fillId="0" borderId="0" applyAlignment="1" pivotButton="0" quotePrefix="0" xfId="0">
      <alignment horizontal="center" vertical="center"/>
    </xf>
    <xf numFmtId="171" fontId="3" fillId="0" borderId="0" pivotButton="0" quotePrefix="0" xfId="0"/>
    <xf numFmtId="172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AI True Cost Model</t>
        </is>
      </c>
    </row>
    <row r="3">
      <c r="A3" s="2" t="inlineStr">
        <is>
          <t>Purpose</t>
        </is>
      </c>
    </row>
    <row r="4">
      <c r="A4" s="3" t="inlineStr">
        <is>
          <t>Estimates the all-in cost per million output tokens for a frontier AI model, broken into FIVE cost layers including capex, and compares against typical subscription and contract revenue. Also includes a three-way competitive comparison (Google / OpenAI / Anthropic) before and after the April/May 2026 Anthropic compute deals.</t>
        </is>
      </c>
    </row>
    <row r="5"/>
    <row r="6"/>
    <row r="8">
      <c r="A8" s="2" t="inlineStr">
        <is>
          <t>Sheets</t>
        </is>
      </c>
    </row>
    <row r="9">
      <c r="A9" s="4" t="inlineStr">
        <is>
          <t>1. Assumptions</t>
        </is>
      </c>
      <c r="B9" t="inlineStr">
        <is>
          <t>All inputs in blue. Edit these to flex the model. Three scenarios: Low / Mid / High.</t>
        </is>
      </c>
    </row>
    <row r="10">
      <c r="A10" s="4" t="inlineStr">
        <is>
          <t>2. Cost Build</t>
        </is>
      </c>
      <c r="B10" t="inlineStr">
        <is>
          <t>Calculates cost per million output tokens across five layers including capex.</t>
        </is>
      </c>
    </row>
    <row r="11">
      <c r="A11" s="4" t="inlineStr">
        <is>
          <t>3. Revenue Build</t>
        </is>
      </c>
      <c r="B11" t="inlineStr">
        <is>
          <t>Models blended revenue from consumer subs, API, enterprise, and government.</t>
        </is>
      </c>
    </row>
    <row r="12">
      <c r="A12" s="4" t="inlineStr">
        <is>
          <t>4. Unit Economics</t>
        </is>
      </c>
      <c r="B12" t="inlineStr">
        <is>
          <t>Compares cost vs revenue per query, per million tokens, and company-wide.</t>
        </is>
      </c>
    </row>
    <row r="13">
      <c r="A13" s="4" t="inlineStr">
        <is>
          <t>5. Sensitivity</t>
        </is>
      </c>
      <c r="B13" t="inlineStr">
        <is>
          <t>Single-variable sensitivity of cost per M tokens to key drivers.</t>
        </is>
      </c>
    </row>
    <row r="14">
      <c r="A14" s="4" t="inlineStr">
        <is>
          <t>6. Build vs Rent</t>
        </is>
      </c>
      <c r="B14" t="inlineStr">
        <is>
          <t>Toggles capex ownership mix between owned datacenter and rented hyperscaler capacity.</t>
        </is>
      </c>
    </row>
    <row r="15">
      <c r="A15" s="4" t="inlineStr">
        <is>
          <t>7. Breakeven</t>
        </is>
      </c>
      <c r="B15" t="inlineStr">
        <is>
          <t>Inverts cost into revenue and scale required to clear the cost stack.</t>
        </is>
      </c>
    </row>
    <row r="16">
      <c r="A16" s="4" t="inlineStr">
        <is>
          <t>8. No-Subsidy Pricing</t>
        </is>
      </c>
      <c r="B16" t="inlineStr">
        <is>
          <t>Consumer subscription cost at full-economic per usage tier.</t>
        </is>
      </c>
    </row>
    <row r="17">
      <c r="A17" s="4" t="inlineStr">
        <is>
          <t>9. Implicit Demand</t>
        </is>
      </c>
      <c r="B17" t="inlineStr">
        <is>
          <t>Token volume implied by committed multi-year compute spend per lab.</t>
        </is>
      </c>
    </row>
    <row r="18">
      <c r="A18" s="4" t="inlineStr">
        <is>
          <t>10. Plausibility</t>
        </is>
      </c>
      <c r="B18" t="inlineStr">
        <is>
          <t>Three lenses on whether the implied demand can be absorbed.</t>
        </is>
      </c>
    </row>
    <row r="19">
      <c r="A19" s="4" t="inlineStr">
        <is>
          <t>11. Capex Perspective</t>
        </is>
      </c>
      <c r="B19" t="inlineStr">
        <is>
          <t>Capex framed against US GDP, business investment, and grid capacity.</t>
        </is>
      </c>
    </row>
    <row r="20">
      <c r="A20" s="4" t="inlineStr">
        <is>
          <t>12. Stacks - Pre Announcement</t>
        </is>
      </c>
      <c r="B20" t="inlineStr">
        <is>
          <t>Three-way competitor comparison before the April/May 2026 deals.</t>
        </is>
      </c>
    </row>
    <row r="21">
      <c r="A21" s="4" t="inlineStr">
        <is>
          <t>13. Stacks - Post Announcement</t>
        </is>
      </c>
      <c r="B21" t="inlineStr">
        <is>
          <t>Updated comparison after Anthropic's Google/xAI/Amazon expansions.</t>
        </is>
      </c>
    </row>
    <row r="23">
      <c r="A23" s="2" t="inlineStr">
        <is>
          <t>Color Convention</t>
        </is>
      </c>
    </row>
    <row r="24">
      <c r="A24" s="5" t="inlineStr">
        <is>
          <t>Blue</t>
        </is>
      </c>
      <c r="B24" t="inlineStr">
        <is>
          <t>Hardcoded inputs you can change</t>
        </is>
      </c>
    </row>
    <row r="25">
      <c r="A25" s="6" t="inlineStr">
        <is>
          <t>Black</t>
        </is>
      </c>
      <c r="B25" t="inlineStr">
        <is>
          <t>Formulas and calculations</t>
        </is>
      </c>
    </row>
    <row r="26">
      <c r="A26" s="7" t="inlineStr">
        <is>
          <t>Green</t>
        </is>
      </c>
      <c r="B26" t="inlineStr">
        <is>
          <t>Cross-sheet references</t>
        </is>
      </c>
    </row>
    <row r="27">
      <c r="A27" s="8" t="inlineStr">
        <is>
          <t>Yellow fill</t>
        </is>
      </c>
      <c r="B27" t="inlineStr">
        <is>
          <t>Key assumptions to review</t>
        </is>
      </c>
    </row>
    <row r="29">
      <c r="A29" s="2" t="inlineStr">
        <is>
          <t>Caveats</t>
        </is>
      </c>
    </row>
    <row r="30" ht="30" customHeight="1">
      <c r="A30" s="3" t="inlineStr">
        <is>
          <t>• Frontier lab cost structures are not public. All inputs are triangulated estimates as of early 2026.</t>
        </is>
      </c>
    </row>
    <row r="31" ht="30" customHeight="1">
      <c r="A31" s="3" t="inlineStr">
        <is>
          <t>• Capex commitments often live in hyperscaler partners' balance sheets via take-or-pay contracts. The Build vs Rent toggle approximates how this allocates.</t>
        </is>
      </c>
    </row>
    <row r="32" ht="30" customHeight="1">
      <c r="A32" s="3" t="inlineStr">
        <is>
          <t>• Inference cost per token has fallen roughly 10x year over year for comparable capability. Treat training amortization as the most volatile input.</t>
        </is>
      </c>
    </row>
    <row r="33" ht="30" customHeight="1">
      <c r="A33" s="3" t="inlineStr">
        <is>
          <t>• Enterprise contract economics vary widely between deals.</t>
        </is>
      </c>
    </row>
    <row r="34" ht="30" customHeight="1">
      <c r="A34" s="3" t="inlineStr">
        <is>
          <t>• The competitor stacks sheets reflect a specific view of relative cost positions; multipliers are editable.</t>
        </is>
      </c>
    </row>
    <row r="35" ht="30" customHeight="1">
      <c r="A35" s="3" t="inlineStr">
        <is>
          <t>• Implicit Demand and Plausibility sheets translate dollars committed into tokens served at current cost - they are scenarios, not forecasts.</t>
        </is>
      </c>
    </row>
  </sheetData>
  <mergeCells count="25">
    <mergeCell ref="B11:D11"/>
    <mergeCell ref="B14:D14"/>
    <mergeCell ref="A35:D35"/>
    <mergeCell ref="B17:D17"/>
    <mergeCell ref="B13:D13"/>
    <mergeCell ref="B10:D10"/>
    <mergeCell ref="A4:D6"/>
    <mergeCell ref="B19:D19"/>
    <mergeCell ref="A31:D31"/>
    <mergeCell ref="A34:D34"/>
    <mergeCell ref="A30:D30"/>
    <mergeCell ref="B9:D9"/>
    <mergeCell ref="B15:D15"/>
    <mergeCell ref="B24:D24"/>
    <mergeCell ref="B20:D20"/>
    <mergeCell ref="A1:D1"/>
    <mergeCell ref="B26:D26"/>
    <mergeCell ref="B25:D25"/>
    <mergeCell ref="B16:D16"/>
    <mergeCell ref="B18:D18"/>
    <mergeCell ref="B27:D27"/>
    <mergeCell ref="B21:D21"/>
    <mergeCell ref="A33:D33"/>
    <mergeCell ref="B12:D12"/>
    <mergeCell ref="A32:D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Assumptions</t>
        </is>
      </c>
    </row>
    <row r="3">
      <c r="A3" s="9" t="inlineStr">
        <is>
          <t>Driver</t>
        </is>
      </c>
      <c r="B3" s="9" t="inlineStr">
        <is>
          <t>Unit</t>
        </is>
      </c>
      <c r="C3" s="9" t="inlineStr">
        <is>
          <t>Low</t>
        </is>
      </c>
      <c r="D3" s="9" t="inlineStr">
        <is>
          <t>Mid</t>
        </is>
      </c>
      <c r="E3" s="9" t="inlineStr">
        <is>
          <t>High</t>
        </is>
      </c>
    </row>
    <row r="4">
      <c r="A4" s="10" t="inlineStr">
        <is>
          <t>Layer 1: Training Amortization</t>
        </is>
      </c>
    </row>
    <row r="5">
      <c r="A5" s="6" t="inlineStr">
        <is>
          <t>Frontier training run cost</t>
        </is>
      </c>
      <c r="B5" s="11" t="inlineStr">
        <is>
          <t>$M</t>
        </is>
      </c>
      <c r="C5" s="12" t="n">
        <v>100</v>
      </c>
      <c r="D5" s="12" t="n">
        <v>500</v>
      </c>
      <c r="E5" s="12" t="n">
        <v>1500</v>
      </c>
    </row>
    <row r="6">
      <c r="A6" s="6" t="inlineStr">
        <is>
          <t>Useful life of model</t>
        </is>
      </c>
      <c r="B6" s="11" t="inlineStr">
        <is>
          <t>months</t>
        </is>
      </c>
      <c r="C6" s="13" t="n">
        <v>24</v>
      </c>
      <c r="D6" s="13" t="n">
        <v>18</v>
      </c>
      <c r="E6" s="13" t="n">
        <v>12</v>
      </c>
    </row>
    <row r="7">
      <c r="A7" s="6" t="inlineStr">
        <is>
          <t>Trailing 12mo output tokens served (industry)</t>
        </is>
      </c>
      <c r="B7" s="11" t="inlineStr">
        <is>
          <t>trillions</t>
        </is>
      </c>
      <c r="C7" s="14" t="n">
        <v>500</v>
      </c>
      <c r="D7" s="14" t="n">
        <v>250</v>
      </c>
      <c r="E7" s="14" t="n">
        <v>100</v>
      </c>
    </row>
    <row r="8">
      <c r="A8" s="6" t="inlineStr">
        <is>
          <t>Lab share of those tokens</t>
        </is>
      </c>
      <c r="B8" s="11" t="inlineStr">
        <is>
          <t>%</t>
        </is>
      </c>
      <c r="C8" s="15" t="n">
        <v>0.3</v>
      </c>
      <c r="D8" s="15" t="n">
        <v>0.2</v>
      </c>
      <c r="E8" s="15" t="n">
        <v>0.1</v>
      </c>
    </row>
    <row r="10">
      <c r="A10" s="10" t="inlineStr">
        <is>
          <t>Layer 2: Inference Compute</t>
        </is>
      </c>
    </row>
    <row r="11">
      <c r="A11" s="6" t="inlineStr">
        <is>
          <t>GPU cost per hour - RENTED (hyperscaler markup)</t>
        </is>
      </c>
      <c r="B11" s="11" t="inlineStr">
        <is>
          <t>$/hr</t>
        </is>
      </c>
      <c r="C11" s="16" t="n">
        <v>1.5</v>
      </c>
      <c r="D11" s="16" t="n">
        <v>2.5</v>
      </c>
      <c r="E11" s="16" t="n">
        <v>4</v>
      </c>
    </row>
    <row r="12">
      <c r="A12" s="6" t="inlineStr">
        <is>
          <t>GPU cost per hour - OWNED (operating only, no capex)</t>
        </is>
      </c>
      <c r="B12" s="11" t="inlineStr">
        <is>
          <t>$/hr</t>
        </is>
      </c>
      <c r="C12" s="16" t="n">
        <v>0.6</v>
      </c>
      <c r="D12" s="16" t="n">
        <v>1</v>
      </c>
      <c r="E12" s="16" t="n">
        <v>1.6</v>
      </c>
    </row>
    <row r="13">
      <c r="A13" s="6" t="inlineStr">
        <is>
          <t>Output tokens per GPU-hour</t>
        </is>
      </c>
      <c r="B13" s="11" t="inlineStr">
        <is>
          <t>tokens/hr</t>
        </is>
      </c>
      <c r="C13" s="14" t="n">
        <v>1500000</v>
      </c>
      <c r="D13" s="14" t="n">
        <v>800000</v>
      </c>
      <c r="E13" s="14" t="n">
        <v>400000</v>
      </c>
    </row>
    <row r="14">
      <c r="A14" s="6" t="inlineStr">
        <is>
          <t>Input:Output token ratio</t>
        </is>
      </c>
      <c r="B14" s="11" t="inlineStr">
        <is>
          <t>ratio</t>
        </is>
      </c>
      <c r="C14" s="17" t="n">
        <v>5</v>
      </c>
      <c r="D14" s="17" t="n">
        <v>8</v>
      </c>
      <c r="E14" s="17" t="n">
        <v>12</v>
      </c>
    </row>
    <row r="15">
      <c r="A15" s="6" t="inlineStr">
        <is>
          <t>Input token cost factor vs output</t>
        </is>
      </c>
      <c r="B15" s="11" t="inlineStr">
        <is>
          <t>%</t>
        </is>
      </c>
      <c r="C15" s="15" t="n">
        <v>0.2</v>
      </c>
      <c r="D15" s="15" t="n">
        <v>0.25</v>
      </c>
      <c r="E15" s="15" t="n">
        <v>0.3</v>
      </c>
    </row>
    <row r="17">
      <c r="A17" s="10" t="inlineStr">
        <is>
          <t>Layer 3: Infrastructure Overhead (operating)</t>
        </is>
      </c>
    </row>
    <row r="18">
      <c r="A18" s="6" t="inlineStr">
        <is>
          <t>Power as % of compute cost</t>
        </is>
      </c>
      <c r="B18" s="11" t="inlineStr">
        <is>
          <t>%</t>
        </is>
      </c>
      <c r="C18" s="18" t="n">
        <v>0.15</v>
      </c>
      <c r="D18" s="18" t="n">
        <v>0.25</v>
      </c>
      <c r="E18" s="18" t="n">
        <v>0.4</v>
      </c>
    </row>
    <row r="19">
      <c r="A19" s="6" t="inlineStr">
        <is>
          <t>Networking, cooling, redundancy</t>
        </is>
      </c>
      <c r="B19" s="11" t="inlineStr">
        <is>
          <t>%</t>
        </is>
      </c>
      <c r="C19" s="15" t="n">
        <v>0.08</v>
      </c>
      <c r="D19" s="15" t="n">
        <v>0.12</v>
      </c>
      <c r="E19" s="15" t="n">
        <v>0.18</v>
      </c>
    </row>
    <row r="20">
      <c r="A20" s="6" t="inlineStr">
        <is>
          <t>Datacenter real estate (lease)</t>
        </is>
      </c>
      <c r="B20" s="11" t="inlineStr">
        <is>
          <t>%</t>
        </is>
      </c>
      <c r="C20" s="15" t="n">
        <v>0.03</v>
      </c>
      <c r="D20" s="15" t="n">
        <v>0.05</v>
      </c>
      <c r="E20" s="15" t="n">
        <v>0.08</v>
      </c>
    </row>
    <row r="22">
      <c r="A22" s="10" t="inlineStr">
        <is>
          <t>Layer 4: R&amp;D, People, Data</t>
        </is>
      </c>
    </row>
    <row r="23">
      <c r="A23" s="6" t="inlineStr">
        <is>
          <t>Annual R&amp;D spend</t>
        </is>
      </c>
      <c r="B23" s="11" t="inlineStr">
        <is>
          <t>$M</t>
        </is>
      </c>
      <c r="C23" s="19" t="n">
        <v>800</v>
      </c>
      <c r="D23" s="19" t="n">
        <v>1500</v>
      </c>
      <c r="E23" s="19" t="n">
        <v>3000</v>
      </c>
    </row>
    <row r="24">
      <c r="A24" s="6" t="inlineStr">
        <is>
          <t>Annual data acquisition and licensing</t>
        </is>
      </c>
      <c r="B24" s="11" t="inlineStr">
        <is>
          <t>$M</t>
        </is>
      </c>
      <c r="C24" s="20" t="n">
        <v>50</v>
      </c>
      <c r="D24" s="20" t="n">
        <v>200</v>
      </c>
      <c r="E24" s="20" t="n">
        <v>500</v>
      </c>
    </row>
    <row r="25">
      <c r="A25" s="6" t="inlineStr">
        <is>
          <t>RLHF and human feedback labor</t>
        </is>
      </c>
      <c r="B25" s="11" t="inlineStr">
        <is>
          <t>$M</t>
        </is>
      </c>
      <c r="C25" s="20" t="n">
        <v>30</v>
      </c>
      <c r="D25" s="20" t="n">
        <v>80</v>
      </c>
      <c r="E25" s="20" t="n">
        <v>200</v>
      </c>
    </row>
    <row r="27">
      <c r="A27" s="10" t="inlineStr">
        <is>
          <t>Layer 5: Capex (amortized)</t>
        </is>
      </c>
    </row>
    <row r="28">
      <c r="A28" s="6" t="inlineStr">
        <is>
          <t>Datacenter capacity required</t>
        </is>
      </c>
      <c r="B28" s="11" t="inlineStr">
        <is>
          <t>MW</t>
        </is>
      </c>
      <c r="C28" s="14" t="n">
        <v>300</v>
      </c>
      <c r="D28" s="14" t="n">
        <v>1000</v>
      </c>
      <c r="E28" s="14" t="n">
        <v>3000</v>
      </c>
    </row>
    <row r="29">
      <c r="A29" s="6" t="inlineStr">
        <is>
          <t>Datacenter buildout cost</t>
        </is>
      </c>
      <c r="B29" s="11" t="inlineStr">
        <is>
          <t>$M/MW</t>
        </is>
      </c>
      <c r="C29" s="19" t="n">
        <v>25</v>
      </c>
      <c r="D29" s="19" t="n">
        <v>40</v>
      </c>
      <c r="E29" s="19" t="n">
        <v>60</v>
      </c>
    </row>
    <row r="30">
      <c r="A30" s="6" t="inlineStr">
        <is>
          <t>Datacenter useful life</t>
        </is>
      </c>
      <c r="B30" s="11" t="inlineStr">
        <is>
          <t>years</t>
        </is>
      </c>
      <c r="C30" s="21" t="n">
        <v>20</v>
      </c>
      <c r="D30" s="21" t="n">
        <v>15</v>
      </c>
      <c r="E30" s="21" t="n">
        <v>10</v>
      </c>
    </row>
    <row r="31">
      <c r="A31" s="6" t="inlineStr">
        <is>
          <t>GPU count required at scale</t>
        </is>
      </c>
      <c r="B31" s="11" t="inlineStr">
        <is>
          <t>thousands</t>
        </is>
      </c>
      <c r="C31" s="14" t="n">
        <v>200</v>
      </c>
      <c r="D31" s="14" t="n">
        <v>600</v>
      </c>
      <c r="E31" s="14" t="n">
        <v>1500</v>
      </c>
    </row>
    <row r="32">
      <c r="A32" s="6" t="inlineStr">
        <is>
          <t>Avg GPU system cost (all-in)</t>
        </is>
      </c>
      <c r="B32" s="11" t="inlineStr">
        <is>
          <t>$K</t>
        </is>
      </c>
      <c r="C32" s="19" t="n">
        <v>30</v>
      </c>
      <c r="D32" s="19" t="n">
        <v>50</v>
      </c>
      <c r="E32" s="19" t="n">
        <v>80</v>
      </c>
    </row>
    <row r="33">
      <c r="A33" s="6" t="inlineStr">
        <is>
          <t>GPU useful life before refresh</t>
        </is>
      </c>
      <c r="B33" s="11" t="inlineStr">
        <is>
          <t>years</t>
        </is>
      </c>
      <c r="C33" s="13" t="n">
        <v>5</v>
      </c>
      <c r="D33" s="13" t="n">
        <v>4</v>
      </c>
      <c r="E33" s="13" t="n">
        <v>3</v>
      </c>
    </row>
    <row r="34">
      <c r="A34" s="6" t="inlineStr">
        <is>
          <t>Power infra capex (substations, etc)</t>
        </is>
      </c>
      <c r="B34" s="11" t="inlineStr">
        <is>
          <t>$M</t>
        </is>
      </c>
      <c r="C34" s="20" t="n">
        <v>500</v>
      </c>
      <c r="D34" s="20" t="n">
        <v>2000</v>
      </c>
      <c r="E34" s="20" t="n">
        <v>6000</v>
      </c>
    </row>
    <row r="35">
      <c r="A35" s="6" t="inlineStr">
        <is>
          <t>Power infra useful life</t>
        </is>
      </c>
      <c r="B35" s="11" t="inlineStr">
        <is>
          <t>years</t>
        </is>
      </c>
      <c r="C35" s="21" t="n">
        <v>25</v>
      </c>
      <c r="D35" s="21" t="n">
        <v>20</v>
      </c>
      <c r="E35" s="21" t="n">
        <v>15</v>
      </c>
    </row>
    <row r="36">
      <c r="A36" s="6" t="inlineStr">
        <is>
          <t>% of capex owned vs rented (0=all rent, 100=all own)</t>
        </is>
      </c>
      <c r="B36" s="11" t="inlineStr">
        <is>
          <t>%</t>
        </is>
      </c>
      <c r="C36" s="18" t="n">
        <v>0</v>
      </c>
      <c r="D36" s="18" t="n">
        <v>0.5</v>
      </c>
      <c r="E36" s="18" t="n">
        <v>1</v>
      </c>
    </row>
    <row r="38">
      <c r="A38" s="10" t="inlineStr">
        <is>
          <t>Revenue Inputs</t>
        </is>
      </c>
    </row>
    <row r="39">
      <c r="A39" s="6" t="inlineStr">
        <is>
          <t>Consumer paid subscribers</t>
        </is>
      </c>
      <c r="B39" s="11" t="inlineStr">
        <is>
          <t>millions</t>
        </is>
      </c>
      <c r="C39" s="22" t="n">
        <v>5</v>
      </c>
      <c r="D39" s="22" t="n">
        <v>15</v>
      </c>
      <c r="E39" s="22" t="n">
        <v>30</v>
      </c>
    </row>
    <row r="40">
      <c r="A40" s="6" t="inlineStr">
        <is>
          <t>Avg consumer subscription price</t>
        </is>
      </c>
      <c r="B40" s="11" t="inlineStr">
        <is>
          <t>$/mo</t>
        </is>
      </c>
      <c r="C40" s="16" t="n">
        <v>18</v>
      </c>
      <c r="D40" s="16" t="n">
        <v>20</v>
      </c>
      <c r="E40" s="16" t="n">
        <v>22</v>
      </c>
    </row>
    <row r="41">
      <c r="A41" s="6" t="inlineStr">
        <is>
          <t>Avg consumer queries per user per month</t>
        </is>
      </c>
      <c r="B41" s="11" t="inlineStr">
        <is>
          <t>queries</t>
        </is>
      </c>
      <c r="C41" s="23" t="n">
        <v>100</v>
      </c>
      <c r="D41" s="23" t="n">
        <v>250</v>
      </c>
      <c r="E41" s="23" t="n">
        <v>500</v>
      </c>
    </row>
    <row r="42">
      <c r="A42" s="6" t="inlineStr">
        <is>
          <t>Avg output tokens per consumer query</t>
        </is>
      </c>
      <c r="B42" s="11" t="inlineStr">
        <is>
          <t>tokens</t>
        </is>
      </c>
      <c r="C42" s="23" t="n">
        <v>400</v>
      </c>
      <c r="D42" s="23" t="n">
        <v>600</v>
      </c>
      <c r="E42" s="23" t="n">
        <v>1000</v>
      </c>
    </row>
    <row r="43">
      <c r="A43" s="6" t="inlineStr">
        <is>
          <t>API revenue (annual)</t>
        </is>
      </c>
      <c r="B43" s="11" t="inlineStr">
        <is>
          <t>$M</t>
        </is>
      </c>
      <c r="C43" s="19" t="n">
        <v>200</v>
      </c>
      <c r="D43" s="19" t="n">
        <v>600</v>
      </c>
      <c r="E43" s="19" t="n">
        <v>1500</v>
      </c>
    </row>
    <row r="44">
      <c r="A44" s="6" t="inlineStr">
        <is>
          <t>Enterprise contract revenue (annual)</t>
        </is>
      </c>
      <c r="B44" s="11" t="inlineStr">
        <is>
          <t>$M</t>
        </is>
      </c>
      <c r="C44" s="19" t="n">
        <v>500</v>
      </c>
      <c r="D44" s="19" t="n">
        <v>2000</v>
      </c>
      <c r="E44" s="19" t="n">
        <v>5000</v>
      </c>
    </row>
    <row r="45">
      <c r="A45" s="6" t="inlineStr">
        <is>
          <t>Government contract revenue (annual)</t>
        </is>
      </c>
      <c r="B45" s="11" t="inlineStr">
        <is>
          <t>$M</t>
        </is>
      </c>
      <c r="C45" s="20" t="n">
        <v>50</v>
      </c>
      <c r="D45" s="20" t="n">
        <v>250</v>
      </c>
      <c r="E45" s="20" t="n">
        <v>800</v>
      </c>
    </row>
    <row r="47">
      <c r="A47" s="10" t="inlineStr">
        <is>
          <t>Demand and Breakeven Inputs</t>
        </is>
      </c>
    </row>
    <row r="48">
      <c r="A48" s="6" t="inlineStr">
        <is>
          <t>Light user queries per month</t>
        </is>
      </c>
      <c r="B48" s="11" t="inlineStr">
        <is>
          <t>queries</t>
        </is>
      </c>
      <c r="C48" s="23" t="n">
        <v>50</v>
      </c>
      <c r="D48" s="23" t="n">
        <v>50</v>
      </c>
      <c r="E48" s="23" t="n">
        <v>50</v>
      </c>
    </row>
    <row r="49">
      <c r="A49" s="6" t="inlineStr">
        <is>
          <t>Light user output tokens per query</t>
        </is>
      </c>
      <c r="B49" s="11" t="inlineStr">
        <is>
          <t>tokens</t>
        </is>
      </c>
      <c r="C49" s="23" t="n">
        <v>300</v>
      </c>
      <c r="D49" s="23" t="n">
        <v>400</v>
      </c>
      <c r="E49" s="23" t="n">
        <v>600</v>
      </c>
    </row>
    <row r="50">
      <c r="A50" s="6" t="inlineStr">
        <is>
          <t>Power user queries per month</t>
        </is>
      </c>
      <c r="B50" s="11" t="inlineStr">
        <is>
          <t>queries</t>
        </is>
      </c>
      <c r="C50" s="23" t="n">
        <v>1000</v>
      </c>
      <c r="D50" s="23" t="n">
        <v>2000</v>
      </c>
      <c r="E50" s="23" t="n">
        <v>4000</v>
      </c>
    </row>
    <row r="51">
      <c r="A51" s="6" t="inlineStr">
        <is>
          <t>Power user output tokens per query</t>
        </is>
      </c>
      <c r="B51" s="11" t="inlineStr">
        <is>
          <t>tokens</t>
        </is>
      </c>
      <c r="C51" s="23" t="n">
        <v>600</v>
      </c>
      <c r="D51" s="23" t="n">
        <v>1000</v>
      </c>
      <c r="E51" s="23" t="n">
        <v>1500</v>
      </c>
    </row>
    <row r="52">
      <c r="A52" s="6" t="inlineStr">
        <is>
          <t>Anthropic 5-year compute commitment</t>
        </is>
      </c>
      <c r="B52" s="11" t="inlineStr">
        <is>
          <t>$B</t>
        </is>
      </c>
      <c r="C52" s="19" t="n">
        <v>150</v>
      </c>
      <c r="D52" s="19" t="n">
        <v>200</v>
      </c>
      <c r="E52" s="19" t="n">
        <v>250</v>
      </c>
    </row>
    <row r="53">
      <c r="A53" s="6" t="inlineStr">
        <is>
          <t>OpenAI 5-year compute commitment</t>
        </is>
      </c>
      <c r="B53" s="11" t="inlineStr">
        <is>
          <t>$B</t>
        </is>
      </c>
      <c r="C53" s="19" t="n">
        <v>200</v>
      </c>
      <c r="D53" s="19" t="n">
        <v>300</v>
      </c>
      <c r="E53" s="19" t="n">
        <v>400</v>
      </c>
    </row>
    <row r="54">
      <c r="A54" s="6" t="inlineStr">
        <is>
          <t>Baseline lab 5-year commitment (xAI/Google/Meta avg)</t>
        </is>
      </c>
      <c r="B54" s="11" t="inlineStr">
        <is>
          <t>$B</t>
        </is>
      </c>
      <c r="C54" s="19" t="n">
        <v>50</v>
      </c>
      <c r="D54" s="19" t="n">
        <v>100</v>
      </c>
      <c r="E54" s="19" t="n">
        <v>200</v>
      </c>
    </row>
    <row r="55">
      <c r="A55" s="6" t="inlineStr">
        <is>
          <t>Commitment period</t>
        </is>
      </c>
      <c r="B55" s="11" t="inlineStr">
        <is>
          <t>years</t>
        </is>
      </c>
      <c r="C55" s="21" t="n">
        <v>5</v>
      </c>
      <c r="D55" s="21" t="n">
        <v>5</v>
      </c>
      <c r="E55" s="21" t="n">
        <v>5</v>
      </c>
    </row>
    <row r="56">
      <c r="A56" s="6" t="inlineStr">
        <is>
          <t>Heavy user annual output tokens</t>
        </is>
      </c>
      <c r="B56" s="11" t="inlineStr">
        <is>
          <t>M tokens/yr</t>
        </is>
      </c>
      <c r="C56" s="22" t="n">
        <v>12</v>
      </c>
      <c r="D56" s="22" t="n">
        <v>24</v>
      </c>
      <c r="E56" s="22" t="n">
        <v>60</v>
      </c>
    </row>
    <row r="57">
      <c r="A57" s="6" t="inlineStr">
        <is>
          <t>Enterprise seat price (per seat per year)</t>
        </is>
      </c>
      <c r="B57" s="11" t="inlineStr">
        <is>
          <t>$/seat/yr</t>
        </is>
      </c>
      <c r="C57" s="20" t="n">
        <v>1200</v>
      </c>
      <c r="D57" s="20" t="n">
        <v>3000</v>
      </c>
      <c r="E57" s="20" t="n">
        <v>6000</v>
      </c>
    </row>
    <row r="59">
      <c r="A59" s="10" t="inlineStr">
        <is>
          <t>Macro Benchmark Inputs</t>
        </is>
      </c>
    </row>
    <row r="60">
      <c r="A60" s="6" t="inlineStr">
        <is>
          <t>US nominal GDP</t>
        </is>
      </c>
      <c r="B60" s="11" t="inlineStr">
        <is>
          <t>$T</t>
        </is>
      </c>
      <c r="C60" s="24" t="n">
        <v>28</v>
      </c>
      <c r="D60" s="24" t="n">
        <v>29</v>
      </c>
      <c r="E60" s="24" t="n">
        <v>30</v>
      </c>
    </row>
    <row r="61">
      <c r="A61" s="6" t="inlineStr">
        <is>
          <t>US nonresidential fixed investment (annual)</t>
        </is>
      </c>
      <c r="B61" s="11" t="inlineStr">
        <is>
          <t>$T/yr</t>
        </is>
      </c>
      <c r="C61" s="24" t="n">
        <v>3.3</v>
      </c>
      <c r="D61" s="24" t="n">
        <v>3.5</v>
      </c>
      <c r="E61" s="24" t="n">
        <v>3.8</v>
      </c>
    </row>
    <row r="62">
      <c r="A62" s="6" t="inlineStr">
        <is>
          <t>US grid peak demand</t>
        </is>
      </c>
      <c r="B62" s="11" t="inlineStr">
        <is>
          <t>GW</t>
        </is>
      </c>
      <c r="C62" s="23" t="n">
        <v>700</v>
      </c>
      <c r="D62" s="23" t="n">
        <v>750</v>
      </c>
      <c r="E62" s="23" t="n">
        <v>800</v>
      </c>
    </row>
    <row r="63">
      <c r="A63" s="6" t="inlineStr">
        <is>
          <t>US households</t>
        </is>
      </c>
      <c r="B63" s="11" t="inlineStr">
        <is>
          <t>millions</t>
        </is>
      </c>
      <c r="C63" s="23" t="n">
        <v>130</v>
      </c>
      <c r="D63" s="23" t="n">
        <v>131</v>
      </c>
      <c r="E63" s="23" t="n">
        <v>132</v>
      </c>
    </row>
    <row r="64">
      <c r="A64" s="6" t="inlineStr">
        <is>
          <t>Hardware/datacenter share of committed spend</t>
        </is>
      </c>
      <c r="B64" s="11" t="inlineStr">
        <is>
          <t>%</t>
        </is>
      </c>
      <c r="C64" s="15" t="n">
        <v>0.5</v>
      </c>
      <c r="D64" s="15" t="n">
        <v>0.6</v>
      </c>
      <c r="E64" s="15" t="n">
        <v>0.7</v>
      </c>
    </row>
  </sheetData>
  <mergeCells count="9">
    <mergeCell ref="A4:E4"/>
    <mergeCell ref="A59:E59"/>
    <mergeCell ref="A38:E38"/>
    <mergeCell ref="A10:E10"/>
    <mergeCell ref="A47:E47"/>
    <mergeCell ref="A1:E1"/>
    <mergeCell ref="A22:E22"/>
    <mergeCell ref="A17:E17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0" customWidth="1" min="1" max="1"/>
    <col width="4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Cost Per Million Output Tokens</t>
        </is>
      </c>
    </row>
    <row r="2">
      <c r="A2" s="25" t="inlineStr">
        <is>
          <t>Includes Layer 5 capex. Build-vs-rent mix is set in Assumptions (capex_ownership_pct).</t>
        </is>
      </c>
    </row>
    <row r="4">
      <c r="A4" s="9" t="inlineStr">
        <is>
          <t>Component</t>
        </is>
      </c>
      <c r="B4" s="9" t="inlineStr">
        <is>
          <t>Formula Logic</t>
        </is>
      </c>
      <c r="C4" s="9" t="inlineStr">
        <is>
          <t>Low</t>
        </is>
      </c>
      <c r="D4" s="9" t="inlineStr">
        <is>
          <t>Mid</t>
        </is>
      </c>
      <c r="E4" s="9" t="inlineStr">
        <is>
          <t>High</t>
        </is>
      </c>
    </row>
    <row r="5">
      <c r="A5" s="10" t="inlineStr">
        <is>
          <t>Layer 1: Training amortization</t>
        </is>
      </c>
    </row>
    <row r="6">
      <c r="A6" s="6" t="inlineStr">
        <is>
          <t>Training cost ($M)</t>
        </is>
      </c>
      <c r="C6" s="26">
        <f>Assumptions!C5</f>
        <v/>
      </c>
      <c r="D6" s="26">
        <f>Assumptions!D5</f>
        <v/>
      </c>
      <c r="E6" s="26">
        <f>Assumptions!E5</f>
        <v/>
      </c>
    </row>
    <row r="7">
      <c r="A7" s="6" t="inlineStr">
        <is>
          <t>Useful life (months)</t>
        </is>
      </c>
      <c r="C7" s="27">
        <f>Assumptions!C6</f>
        <v/>
      </c>
      <c r="D7" s="27">
        <f>Assumptions!D6</f>
        <v/>
      </c>
      <c r="E7" s="27">
        <f>Assumptions!E6</f>
        <v/>
      </c>
    </row>
    <row r="8">
      <c r="A8" s="6" t="inlineStr">
        <is>
          <t>Lab tokens annually (trillions)</t>
        </is>
      </c>
      <c r="B8" s="6" t="inlineStr">
        <is>
          <t>Industry tokens x lab share</t>
        </is>
      </c>
      <c r="C8" s="28">
        <f>Assumptions!C7*Assumptions!C8</f>
        <v/>
      </c>
      <c r="D8" s="28">
        <f>Assumptions!D7*Assumptions!D8</f>
        <v/>
      </c>
      <c r="E8" s="28">
        <f>Assumptions!E7*Assumptions!E8</f>
        <v/>
      </c>
    </row>
    <row r="9">
      <c r="A9" s="4" t="inlineStr">
        <is>
          <t>$/M output tokens (training)</t>
        </is>
      </c>
      <c r="B9" s="6" t="inlineStr">
        <is>
          <t>Training$ / (lab tokens x life/12)</t>
        </is>
      </c>
      <c r="C9" s="29">
        <f>C6/(C8*C7/12)</f>
        <v/>
      </c>
      <c r="D9" s="29">
        <f>D6/(D8*D7/12)</f>
        <v/>
      </c>
      <c r="E9" s="29">
        <f>E6/(E8*E7/12)</f>
        <v/>
      </c>
    </row>
    <row r="11">
      <c r="A11" s="10" t="inlineStr">
        <is>
          <t>Layer 2: Inference compute</t>
        </is>
      </c>
    </row>
    <row r="12">
      <c r="A12" s="6" t="inlineStr">
        <is>
          <t>Effective GPU $/hr (blended own/rent)</t>
        </is>
      </c>
      <c r="B12" s="6" t="inlineStr">
        <is>
          <t>own_pct x owned_rate + (1-own_pct) x rented_rate</t>
        </is>
      </c>
      <c r="C12" s="30">
        <f>Assumptions!C36*Assumptions!C12+(1-Assumptions!C36)*Assumptions!C11</f>
        <v/>
      </c>
      <c r="D12" s="30">
        <f>Assumptions!D36*Assumptions!D12+(1-Assumptions!D36)*Assumptions!D11</f>
        <v/>
      </c>
      <c r="E12" s="30">
        <f>Assumptions!E36*Assumptions!E12+(1-Assumptions!E36)*Assumptions!E11</f>
        <v/>
      </c>
    </row>
    <row r="13">
      <c r="A13" s="6" t="inlineStr">
        <is>
          <t>Output tokens per GPU-hr</t>
        </is>
      </c>
      <c r="C13" s="31">
        <f>Assumptions!C13</f>
        <v/>
      </c>
      <c r="D13" s="31">
        <f>Assumptions!D13</f>
        <v/>
      </c>
      <c r="E13" s="31">
        <f>Assumptions!E13</f>
        <v/>
      </c>
    </row>
    <row r="14">
      <c r="A14" s="6" t="inlineStr">
        <is>
          <t>Output compute $/M tokens</t>
        </is>
      </c>
      <c r="B14" s="6" t="inlineStr">
        <is>
          <t>GPU $/hr x 1M / tokens per hr</t>
        </is>
      </c>
      <c r="C14" s="30">
        <f>C12*1000000/C13</f>
        <v/>
      </c>
      <c r="D14" s="30">
        <f>D12*1000000/D13</f>
        <v/>
      </c>
      <c r="E14" s="30">
        <f>E12*1000000/E13</f>
        <v/>
      </c>
    </row>
    <row r="15">
      <c r="A15" s="6" t="inlineStr">
        <is>
          <t>Input compute $/M tokens</t>
        </is>
      </c>
      <c r="B15" s="6" t="inlineStr">
        <is>
          <t>Output compute x ratio x cost factor</t>
        </is>
      </c>
      <c r="C15" s="30">
        <f>C14*Assumptions!C14*Assumptions!C15</f>
        <v/>
      </c>
      <c r="D15" s="30">
        <f>D14*Assumptions!D14*Assumptions!D15</f>
        <v/>
      </c>
      <c r="E15" s="30">
        <f>E14*Assumptions!E14*Assumptions!E15</f>
        <v/>
      </c>
    </row>
    <row r="16">
      <c r="A16" s="4" t="inlineStr">
        <is>
          <t>$/M output tokens (inference)</t>
        </is>
      </c>
      <c r="C16" s="32">
        <f>C14+C15</f>
        <v/>
      </c>
      <c r="D16" s="32">
        <f>D14+D15</f>
        <v/>
      </c>
      <c r="E16" s="32">
        <f>E14+E15</f>
        <v/>
      </c>
    </row>
    <row r="18">
      <c r="A18" s="10" t="inlineStr">
        <is>
          <t>Layer 3: Infrastructure overhead (operating)</t>
        </is>
      </c>
    </row>
    <row r="19">
      <c r="A19" s="6" t="inlineStr">
        <is>
          <t>Power overhead</t>
        </is>
      </c>
      <c r="C19" s="30">
        <f>C16*Assumptions!C18</f>
        <v/>
      </c>
      <c r="D19" s="30">
        <f>D16*Assumptions!D18</f>
        <v/>
      </c>
      <c r="E19" s="30">
        <f>E16*Assumptions!E18</f>
        <v/>
      </c>
    </row>
    <row r="20">
      <c r="A20" s="6" t="inlineStr">
        <is>
          <t>Networking, cooling, redundancy</t>
        </is>
      </c>
      <c r="C20" s="30">
        <f>C16*Assumptions!C19</f>
        <v/>
      </c>
      <c r="D20" s="30">
        <f>D16*Assumptions!D19</f>
        <v/>
      </c>
      <c r="E20" s="30">
        <f>E16*Assumptions!E19</f>
        <v/>
      </c>
    </row>
    <row r="21">
      <c r="A21" s="6" t="inlineStr">
        <is>
          <t>Datacenter real estate (lease)</t>
        </is>
      </c>
      <c r="C21" s="30">
        <f>C16*Assumptions!C20</f>
        <v/>
      </c>
      <c r="D21" s="30">
        <f>D16*Assumptions!D20</f>
        <v/>
      </c>
      <c r="E21" s="30">
        <f>E16*Assumptions!E20</f>
        <v/>
      </c>
    </row>
    <row r="22">
      <c r="A22" s="4" t="inlineStr">
        <is>
          <t>$/M output tokens (infra)</t>
        </is>
      </c>
      <c r="C22" s="32">
        <f>C19+C20+C21</f>
        <v/>
      </c>
      <c r="D22" s="32">
        <f>D19+D20+D21</f>
        <v/>
      </c>
      <c r="E22" s="32">
        <f>E19+E20+E21</f>
        <v/>
      </c>
    </row>
    <row r="24">
      <c r="A24" s="10" t="inlineStr">
        <is>
          <t>Layer 4: R&amp;D, people, data</t>
        </is>
      </c>
    </row>
    <row r="25">
      <c r="A25" s="6" t="inlineStr">
        <is>
          <t>Annual R&amp;D + data + RLHF ($M)</t>
        </is>
      </c>
      <c r="C25" s="33">
        <f>Assumptions!C23+Assumptions!C24+Assumptions!C25</f>
        <v/>
      </c>
      <c r="D25" s="33">
        <f>Assumptions!D23+Assumptions!D24+Assumptions!D25</f>
        <v/>
      </c>
      <c r="E25" s="33">
        <f>Assumptions!E23+Assumptions!E24+Assumptions!E25</f>
        <v/>
      </c>
    </row>
    <row r="26">
      <c r="A26" s="4" t="inlineStr">
        <is>
          <t>$/M output tokens (R&amp;D)</t>
        </is>
      </c>
      <c r="B26" s="6" t="inlineStr">
        <is>
          <t>R&amp;D$ / annual lab tokens</t>
        </is>
      </c>
      <c r="C26" s="32">
        <f>C25/C8</f>
        <v/>
      </c>
      <c r="D26" s="32">
        <f>D25/D8</f>
        <v/>
      </c>
      <c r="E26" s="32">
        <f>E25/E8</f>
        <v/>
      </c>
    </row>
    <row r="28">
      <c r="A28" s="10" t="inlineStr">
        <is>
          <t>Layer 5: Capex amortization</t>
        </is>
      </c>
    </row>
    <row r="29">
      <c r="A29" s="6" t="inlineStr">
        <is>
          <t>Datacenter capex total ($M)</t>
        </is>
      </c>
      <c r="B29" s="6" t="inlineStr">
        <is>
          <t>capacity_MW x cost_per_MW</t>
        </is>
      </c>
      <c r="C29" s="33">
        <f>Assumptions!C28*Assumptions!C29</f>
        <v/>
      </c>
      <c r="D29" s="33">
        <f>Assumptions!D28*Assumptions!D29</f>
        <v/>
      </c>
      <c r="E29" s="33">
        <f>Assumptions!E28*Assumptions!E29</f>
        <v/>
      </c>
    </row>
    <row r="30">
      <c r="A30" s="6" t="inlineStr">
        <is>
          <t>GPU capex total ($M)</t>
        </is>
      </c>
      <c r="B30" s="6" t="inlineStr">
        <is>
          <t>gpu_count(K) x unit_cost(K)</t>
        </is>
      </c>
      <c r="C30" s="33">
        <f>Assumptions!C31*Assumptions!C32</f>
        <v/>
      </c>
      <c r="D30" s="33">
        <f>Assumptions!D31*Assumptions!D32</f>
        <v/>
      </c>
      <c r="E30" s="33">
        <f>Assumptions!E31*Assumptions!E32</f>
        <v/>
      </c>
    </row>
    <row r="31">
      <c r="A31" s="6" t="inlineStr">
        <is>
          <t>Power infra capex ($M)</t>
        </is>
      </c>
      <c r="C31" s="34">
        <f>Assumptions!C34</f>
        <v/>
      </c>
      <c r="D31" s="34">
        <f>Assumptions!D34</f>
        <v/>
      </c>
      <c r="E31" s="34">
        <f>Assumptions!E34</f>
        <v/>
      </c>
    </row>
    <row r="32">
      <c r="A32" s="6" t="inlineStr">
        <is>
          <t>Annual depreciation ($M)</t>
        </is>
      </c>
      <c r="B32" s="6" t="inlineStr">
        <is>
          <t>DC/life + GPU/life + power_infra/life</t>
        </is>
      </c>
      <c r="C32" s="33">
        <f>C29/Assumptions!C30+C30/Assumptions!C33+C31/Assumptions!C35</f>
        <v/>
      </c>
      <c r="D32" s="33">
        <f>D29/Assumptions!D30+D30/Assumptions!D33+D31/Assumptions!D35</f>
        <v/>
      </c>
      <c r="E32" s="33">
        <f>E29/Assumptions!E30+E30/Assumptions!E33+E31/Assumptions!E35</f>
        <v/>
      </c>
    </row>
    <row r="33">
      <c r="A33" s="6" t="inlineStr">
        <is>
          <t>Capex burden borne by lab (own pct)</t>
        </is>
      </c>
      <c r="B33" s="6" t="inlineStr">
        <is>
          <t>Annual depr x ownership %</t>
        </is>
      </c>
      <c r="C33" s="33">
        <f>C32*Assumptions!C36</f>
        <v/>
      </c>
      <c r="D33" s="33">
        <f>D32*Assumptions!D36</f>
        <v/>
      </c>
      <c r="E33" s="33">
        <f>E32*Assumptions!E36</f>
        <v/>
      </c>
    </row>
    <row r="34">
      <c r="A34" s="4" t="inlineStr">
        <is>
          <t>$/M output tokens (capex - lab)</t>
        </is>
      </c>
      <c r="B34" s="6" t="inlineStr">
        <is>
          <t>Capex borne / lab annual tokens</t>
        </is>
      </c>
      <c r="C34" s="32">
        <f>C33/C8</f>
        <v/>
      </c>
      <c r="D34" s="32">
        <f>D33/D8</f>
        <v/>
      </c>
      <c r="E34" s="32">
        <f>E33/E8</f>
        <v/>
      </c>
    </row>
    <row r="35">
      <c r="A35" s="6" t="inlineStr">
        <is>
          <t>$/M output tokens (capex - in GPU rate, rented portion)</t>
        </is>
      </c>
      <c r="B35" s="25" t="inlineStr">
        <is>
          <t>Already inside Layer 2 via rented GPU markup</t>
        </is>
      </c>
      <c r="C35" s="30">
        <f>(Assumptions!C11-Assumptions!C12)*1000000/Assumptions!C13*(1-Assumptions!C36)*(1+Assumptions!C14*Assumptions!C15)</f>
        <v/>
      </c>
      <c r="D35" s="30">
        <f>(Assumptions!D11-Assumptions!D12)*1000000/Assumptions!D13*(1-Assumptions!D36)*(1+Assumptions!D14*Assumptions!D15)</f>
        <v/>
      </c>
      <c r="E35" s="30">
        <f>(Assumptions!E11-Assumptions!E12)*1000000/Assumptions!E13*(1-Assumptions!E36)*(1+Assumptions!E14*Assumptions!E15)</f>
        <v/>
      </c>
    </row>
    <row r="36">
      <c r="A36" s="4" t="inlineStr">
        <is>
          <t>$/M output tokens (capex TOTAL economic)</t>
        </is>
      </c>
      <c r="B36" s="6" t="inlineStr">
        <is>
          <t>Lab capex burden + rent markup (full economic cost)</t>
        </is>
      </c>
      <c r="C36" s="32">
        <f>C34+C35</f>
        <v/>
      </c>
      <c r="D36" s="32">
        <f>D34+D35</f>
        <v/>
      </c>
      <c r="E36" s="32">
        <f>E34+E35</f>
        <v/>
      </c>
    </row>
    <row r="38">
      <c r="A38" s="35" t="inlineStr">
        <is>
          <t>TOTAL TRUE COST per M output tokens</t>
        </is>
      </c>
      <c r="B38" s="25" t="inlineStr">
        <is>
          <t>Sum of layers 1-4 + capex borne by lab only</t>
        </is>
      </c>
      <c r="C38" s="36">
        <f>C9+C16+C22+C26+C34</f>
        <v/>
      </c>
      <c r="D38" s="36">
        <f>D9+D16+D22+D26+D34</f>
        <v/>
      </c>
      <c r="E38" s="36">
        <f>E9+E16+E22+E26+E34</f>
        <v/>
      </c>
    </row>
    <row r="39">
      <c r="A39" s="37" t="inlineStr">
        <is>
          <t>TOTAL ECONOMIC COST per M output tokens</t>
        </is>
      </c>
      <c r="B39" s="25" t="inlineStr">
        <is>
          <t>Includes capex borne by hyperscaler partners too</t>
        </is>
      </c>
      <c r="C39" s="38">
        <f>C9+(Assumptions!C12*1000000/Assumptions!C13*(1+Assumptions!C14*Assumptions!C15))+(Assumptions!C12*1000000/Assumptions!C13*(1+Assumptions!C14*Assumptions!C15))*(Assumptions!C18+Assumptions!C19+Assumptions!C20)+C26+C32/C8</f>
        <v/>
      </c>
      <c r="D39" s="38">
        <f>D9+(Assumptions!D12*1000000/Assumptions!D13*(1+Assumptions!D14*Assumptions!D15))+(Assumptions!D12*1000000/Assumptions!D13*(1+Assumptions!D14*Assumptions!D15))*(Assumptions!D18+Assumptions!D19+Assumptions!D20)+D26+D32/D8</f>
        <v/>
      </c>
      <c r="E39" s="38">
        <f>E9+(Assumptions!E12*1000000/Assumptions!E13*(1+Assumptions!E14*Assumptions!E15))+(Assumptions!E12*1000000/Assumptions!E13*(1+Assumptions!E14*Assumptions!E15))*(Assumptions!E18+Assumptions!E19+Assumptions!E20)+E26+E32/E8</f>
        <v/>
      </c>
    </row>
    <row r="41">
      <c r="A41" s="4" t="inlineStr">
        <is>
          <t>Layer share of total lab cash cost (Mid)</t>
        </is>
      </c>
    </row>
    <row r="42">
      <c r="A42" s="6" t="inlineStr">
        <is>
          <t>Training %</t>
        </is>
      </c>
      <c r="D42" s="39">
        <f>D9/D38</f>
        <v/>
      </c>
    </row>
    <row r="43">
      <c r="A43" s="6" t="inlineStr">
        <is>
          <t>Inference %</t>
        </is>
      </c>
      <c r="D43" s="39">
        <f>D16/D38</f>
        <v/>
      </c>
    </row>
    <row r="44">
      <c r="A44" s="6" t="inlineStr">
        <is>
          <t>Infrastructure %</t>
        </is>
      </c>
      <c r="D44" s="39">
        <f>D22/D38</f>
        <v/>
      </c>
    </row>
    <row r="45">
      <c r="A45" s="6" t="inlineStr">
        <is>
          <t>R&amp;D %</t>
        </is>
      </c>
      <c r="D45" s="39">
        <f>D26/D38</f>
        <v/>
      </c>
    </row>
    <row r="46">
      <c r="A46" s="6" t="inlineStr">
        <is>
          <t>Capex (lab borne) %</t>
        </is>
      </c>
      <c r="D46" s="39">
        <f>D34/D38</f>
        <v/>
      </c>
    </row>
  </sheetData>
  <mergeCells count="8">
    <mergeCell ref="A24:E24"/>
    <mergeCell ref="A2:E2"/>
    <mergeCell ref="A28:E28"/>
    <mergeCell ref="A41:E41"/>
    <mergeCell ref="A11:E11"/>
    <mergeCell ref="A1:E1"/>
    <mergeCell ref="A5:E5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2" customWidth="1" min="1" max="1"/>
    <col width="3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Revenue Build</t>
        </is>
      </c>
    </row>
    <row r="3">
      <c r="A3" s="9" t="inlineStr">
        <is>
          <t>Component</t>
        </is>
      </c>
      <c r="B3" s="9" t="inlineStr">
        <is>
          <t>Formula Logic</t>
        </is>
      </c>
      <c r="C3" s="9" t="inlineStr">
        <is>
          <t>Low</t>
        </is>
      </c>
      <c r="D3" s="9" t="inlineStr">
        <is>
          <t>Mid</t>
        </is>
      </c>
      <c r="E3" s="9" t="inlineStr">
        <is>
          <t>High</t>
        </is>
      </c>
    </row>
    <row r="4">
      <c r="A4" s="10" t="inlineStr">
        <is>
          <t>Consumer subscription revenue</t>
        </is>
      </c>
    </row>
    <row r="5">
      <c r="A5" s="6" t="inlineStr">
        <is>
          <t>Paid subscribers (M)</t>
        </is>
      </c>
      <c r="C5" s="40">
        <f>Assumptions!C39</f>
        <v/>
      </c>
      <c r="D5" s="40">
        <f>Assumptions!D39</f>
        <v/>
      </c>
      <c r="E5" s="40">
        <f>Assumptions!E39</f>
        <v/>
      </c>
    </row>
    <row r="6">
      <c r="A6" s="6" t="inlineStr">
        <is>
          <t>Avg sub price ($/mo)</t>
        </is>
      </c>
      <c r="C6" s="41">
        <f>Assumptions!C40</f>
        <v/>
      </c>
      <c r="D6" s="41">
        <f>Assumptions!D40</f>
        <v/>
      </c>
      <c r="E6" s="41">
        <f>Assumptions!E40</f>
        <v/>
      </c>
    </row>
    <row r="7">
      <c r="A7" s="4" t="inlineStr">
        <is>
          <t>Annual consumer revenue ($M)</t>
        </is>
      </c>
      <c r="B7" s="6" t="inlineStr">
        <is>
          <t>Subs x price x 12</t>
        </is>
      </c>
      <c r="C7" s="42">
        <f>C5*C6*12</f>
        <v/>
      </c>
      <c r="D7" s="42">
        <f>D5*D6*12</f>
        <v/>
      </c>
      <c r="E7" s="42">
        <f>E5*E6*12</f>
        <v/>
      </c>
    </row>
    <row r="9">
      <c r="A9" s="6" t="inlineStr">
        <is>
          <t>Consumer output tokens (annual, trillions)</t>
        </is>
      </c>
      <c r="B9" s="6" t="inlineStr">
        <is>
          <t>Subs x queries/mo x tokens/q x 12</t>
        </is>
      </c>
      <c r="C9" s="28">
        <f>C5*1000000*Assumptions!C41*Assumptions!C42*12/1000000000000</f>
        <v/>
      </c>
      <c r="D9" s="28">
        <f>D5*1000000*Assumptions!D41*Assumptions!D42*12/1000000000000</f>
        <v/>
      </c>
      <c r="E9" s="28">
        <f>E5*1000000*Assumptions!E41*Assumptions!E42*12/1000000000000</f>
        <v/>
      </c>
    </row>
    <row r="10">
      <c r="A10" s="4" t="inlineStr">
        <is>
          <t>Consumer revenue per M output tokens</t>
        </is>
      </c>
      <c r="C10" s="32">
        <f>C7/C9</f>
        <v/>
      </c>
      <c r="D10" s="32">
        <f>D7/D9</f>
        <v/>
      </c>
      <c r="E10" s="32">
        <f>E7/E9</f>
        <v/>
      </c>
    </row>
    <row r="12">
      <c r="A12" s="10" t="inlineStr">
        <is>
          <t>API and contract revenue</t>
        </is>
      </c>
    </row>
    <row r="13">
      <c r="A13" s="6" t="inlineStr">
        <is>
          <t>API revenue ($M)</t>
        </is>
      </c>
      <c r="C13" s="34">
        <f>Assumptions!C43</f>
        <v/>
      </c>
      <c r="D13" s="34">
        <f>Assumptions!D43</f>
        <v/>
      </c>
      <c r="E13" s="34">
        <f>Assumptions!E43</f>
        <v/>
      </c>
    </row>
    <row r="14">
      <c r="A14" s="6" t="inlineStr">
        <is>
          <t>Enterprise revenue ($M)</t>
        </is>
      </c>
      <c r="C14" s="34">
        <f>Assumptions!C44</f>
        <v/>
      </c>
      <c r="D14" s="34">
        <f>Assumptions!D44</f>
        <v/>
      </c>
      <c r="E14" s="34">
        <f>Assumptions!E44</f>
        <v/>
      </c>
    </row>
    <row r="15">
      <c r="A15" s="6" t="inlineStr">
        <is>
          <t>Government revenue ($M)</t>
        </is>
      </c>
      <c r="C15" s="34">
        <f>Assumptions!C45</f>
        <v/>
      </c>
      <c r="D15" s="34">
        <f>Assumptions!D45</f>
        <v/>
      </c>
      <c r="E15" s="34">
        <f>Assumptions!E45</f>
        <v/>
      </c>
    </row>
    <row r="17">
      <c r="A17" s="35" t="inlineStr">
        <is>
          <t>TOTAL annual revenue ($M)</t>
        </is>
      </c>
      <c r="C17" s="43">
        <f>C7+C13+C14+C15</f>
        <v/>
      </c>
      <c r="D17" s="43">
        <f>D7+D13+D14+D15</f>
        <v/>
      </c>
      <c r="E17" s="43">
        <f>E7+E13+E14+E15</f>
        <v/>
      </c>
    </row>
    <row r="19">
      <c r="A19" s="4" t="inlineStr">
        <is>
          <t>Revenue mix (Mid)</t>
        </is>
      </c>
    </row>
    <row r="20">
      <c r="A20" s="6" t="inlineStr">
        <is>
          <t>Consumer %</t>
        </is>
      </c>
      <c r="D20" s="39">
        <f>D7/D17</f>
        <v/>
      </c>
    </row>
    <row r="21">
      <c r="A21" s="6" t="inlineStr">
        <is>
          <t>API %</t>
        </is>
      </c>
      <c r="D21" s="39">
        <f>D13/D17</f>
        <v/>
      </c>
    </row>
    <row r="22">
      <c r="A22" s="6" t="inlineStr">
        <is>
          <t>Enterprise %</t>
        </is>
      </c>
      <c r="D22" s="39">
        <f>D14/D17</f>
        <v/>
      </c>
    </row>
    <row r="23">
      <c r="A23" s="6" t="inlineStr">
        <is>
          <t>Government %</t>
        </is>
      </c>
      <c r="D23" s="39">
        <f>D15/D17</f>
        <v/>
      </c>
    </row>
  </sheetData>
  <mergeCells count="4">
    <mergeCell ref="A1:E1"/>
    <mergeCell ref="A4:E4"/>
    <mergeCell ref="A12:E12"/>
    <mergeCell ref="A19:E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4" customWidth="1" min="1" max="1"/>
    <col width="3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Unit Economics: Cost vs Revenue</t>
        </is>
      </c>
    </row>
    <row r="3">
      <c r="A3" s="9" t="inlineStr">
        <is>
          <t>Metric</t>
        </is>
      </c>
      <c r="B3" s="9" t="inlineStr">
        <is>
          <t>Notes</t>
        </is>
      </c>
      <c r="C3" s="9" t="inlineStr">
        <is>
          <t>Low</t>
        </is>
      </c>
      <c r="D3" s="9" t="inlineStr">
        <is>
          <t>Mid</t>
        </is>
      </c>
      <c r="E3" s="9" t="inlineStr">
        <is>
          <t>High</t>
        </is>
      </c>
    </row>
    <row r="4">
      <c r="A4" s="6" t="inlineStr">
        <is>
          <t>Cost per M tokens (lab cash)</t>
        </is>
      </c>
      <c r="B4" s="6" t="inlineStr">
        <is>
          <t>Capex borne by lab only</t>
        </is>
      </c>
      <c r="C4" s="41">
        <f>'Cost Build'!C38</f>
        <v/>
      </c>
      <c r="D4" s="41">
        <f>'Cost Build'!D38</f>
        <v/>
      </c>
      <c r="E4" s="41">
        <f>'Cost Build'!E38</f>
        <v/>
      </c>
    </row>
    <row r="5">
      <c r="A5" s="6" t="inlineStr">
        <is>
          <t>Cost per M tokens (full economic)</t>
        </is>
      </c>
      <c r="B5" s="6" t="inlineStr">
        <is>
          <t>Includes hyperscaler-borne capex</t>
        </is>
      </c>
      <c r="C5" s="41">
        <f>'Cost Build'!C39</f>
        <v/>
      </c>
      <c r="D5" s="41">
        <f>'Cost Build'!D39</f>
        <v/>
      </c>
      <c r="E5" s="41">
        <f>'Cost Build'!E39</f>
        <v/>
      </c>
    </row>
    <row r="6">
      <c r="A6" s="6" t="inlineStr">
        <is>
          <t>Consumer revenue per M tokens</t>
        </is>
      </c>
      <c r="C6" s="41">
        <f>'Revenue Build'!C10</f>
        <v/>
      </c>
      <c r="D6" s="41">
        <f>'Revenue Build'!D10</f>
        <v/>
      </c>
      <c r="E6" s="41">
        <f>'Revenue Build'!E10</f>
        <v/>
      </c>
    </row>
    <row r="7">
      <c r="A7" s="4" t="inlineStr">
        <is>
          <t>Consumer margin vs lab cash cost</t>
        </is>
      </c>
      <c r="C7" s="44">
        <f>IFERROR((C6-C4)/C6,0)</f>
        <v/>
      </c>
      <c r="D7" s="44">
        <f>IFERROR((D6-D4)/D6,0)</f>
        <v/>
      </c>
      <c r="E7" s="44">
        <f>IFERROR((E6-E4)/E6,0)</f>
        <v/>
      </c>
    </row>
    <row r="8">
      <c r="A8" s="4" t="inlineStr">
        <is>
          <t>Consumer margin vs full economic cost</t>
        </is>
      </c>
      <c r="C8" s="44">
        <f>IFERROR((C6-C5)/C6,0)</f>
        <v/>
      </c>
      <c r="D8" s="44">
        <f>IFERROR((D6-D5)/D6,0)</f>
        <v/>
      </c>
      <c r="E8" s="44">
        <f>IFERROR((E6-E5)/E6,0)</f>
        <v/>
      </c>
    </row>
    <row r="10">
      <c r="A10" s="10" t="inlineStr">
        <is>
          <t>Per-query view (consumer)</t>
        </is>
      </c>
    </row>
    <row r="11">
      <c r="A11" s="6" t="inlineStr">
        <is>
          <t>Avg output tokens per query</t>
        </is>
      </c>
      <c r="C11" s="31">
        <f>Assumptions!C42</f>
        <v/>
      </c>
      <c r="D11" s="31">
        <f>Assumptions!D42</f>
        <v/>
      </c>
      <c r="E11" s="31">
        <f>Assumptions!E42</f>
        <v/>
      </c>
    </row>
    <row r="12">
      <c r="A12" s="6" t="inlineStr">
        <is>
          <t>Cost per query - lab cash ($)</t>
        </is>
      </c>
      <c r="C12" s="45">
        <f>C4*C11/1000000</f>
        <v/>
      </c>
      <c r="D12" s="45">
        <f>D4*D11/1000000</f>
        <v/>
      </c>
      <c r="E12" s="45">
        <f>E4*E11/1000000</f>
        <v/>
      </c>
    </row>
    <row r="13">
      <c r="A13" s="6" t="inlineStr">
        <is>
          <t>Cost per query - full economic ($)</t>
        </is>
      </c>
      <c r="C13" s="45">
        <f>C5*C11/1000000</f>
        <v/>
      </c>
      <c r="D13" s="45">
        <f>D5*D11/1000000</f>
        <v/>
      </c>
      <c r="E13" s="45">
        <f>E5*E11/1000000</f>
        <v/>
      </c>
    </row>
    <row r="14">
      <c r="A14" s="6" t="inlineStr">
        <is>
          <t>Revenue per query ($, consumer)</t>
        </is>
      </c>
      <c r="C14" s="45">
        <f>C6*C11/1000000</f>
        <v/>
      </c>
      <c r="D14" s="45">
        <f>D6*D11/1000000</f>
        <v/>
      </c>
      <c r="E14" s="45">
        <f>E6*E11/1000000</f>
        <v/>
      </c>
    </row>
    <row r="15">
      <c r="A15" s="4" t="inlineStr">
        <is>
          <t>Margin per query - lab cash ($)</t>
        </is>
      </c>
      <c r="C15" s="46">
        <f>C14-C12</f>
        <v/>
      </c>
      <c r="D15" s="46">
        <f>D14-D12</f>
        <v/>
      </c>
      <c r="E15" s="46">
        <f>E14-E12</f>
        <v/>
      </c>
    </row>
    <row r="16">
      <c r="A16" s="4" t="inlineStr">
        <is>
          <t>Margin per query - full economic ($)</t>
        </is>
      </c>
      <c r="C16" s="46">
        <f>C14-C13</f>
        <v/>
      </c>
      <c r="D16" s="46">
        <f>D14-D13</f>
        <v/>
      </c>
      <c r="E16" s="46">
        <f>E14-E13</f>
        <v/>
      </c>
    </row>
    <row r="18">
      <c r="A18" s="10" t="inlineStr">
        <is>
          <t>Company-wide view</t>
        </is>
      </c>
    </row>
    <row r="19">
      <c r="A19" s="6" t="inlineStr">
        <is>
          <t>Total annual revenue ($M)</t>
        </is>
      </c>
      <c r="C19" s="34">
        <f>'Revenue Build'!C17</f>
        <v/>
      </c>
      <c r="D19" s="34">
        <f>'Revenue Build'!D17</f>
        <v/>
      </c>
      <c r="E19" s="34">
        <f>'Revenue Build'!E17</f>
        <v/>
      </c>
    </row>
    <row r="20">
      <c r="A20" s="6" t="inlineStr">
        <is>
          <t>Total annual cost - lab cash ($M)</t>
        </is>
      </c>
      <c r="C20" s="33">
        <f>C4*'Cost Build'!C8</f>
        <v/>
      </c>
      <c r="D20" s="33">
        <f>D4*'Cost Build'!D8</f>
        <v/>
      </c>
      <c r="E20" s="33">
        <f>E4*'Cost Build'!E8</f>
        <v/>
      </c>
    </row>
    <row r="21">
      <c r="A21" s="6" t="inlineStr">
        <is>
          <t>Total annual cost - full economic ($M)</t>
        </is>
      </c>
      <c r="C21" s="33">
        <f>C5*'Cost Build'!C8</f>
        <v/>
      </c>
      <c r="D21" s="33">
        <f>D5*'Cost Build'!D8</f>
        <v/>
      </c>
      <c r="E21" s="33">
        <f>E5*'Cost Build'!E8</f>
        <v/>
      </c>
    </row>
    <row r="22">
      <c r="A22" s="4" t="inlineStr">
        <is>
          <t>Operating margin - lab cash ($M)</t>
        </is>
      </c>
      <c r="C22" s="47">
        <f>C19-C20</f>
        <v/>
      </c>
      <c r="D22" s="47">
        <f>D19-D20</f>
        <v/>
      </c>
      <c r="E22" s="47">
        <f>E19-E20</f>
        <v/>
      </c>
    </row>
    <row r="23">
      <c r="A23" s="4" t="inlineStr">
        <is>
          <t>Operating margin - full economic ($M)</t>
        </is>
      </c>
      <c r="C23" s="47">
        <f>C19-C21</f>
        <v/>
      </c>
      <c r="D23" s="47">
        <f>D19-D21</f>
        <v/>
      </c>
      <c r="E23" s="47">
        <f>E19-E21</f>
        <v/>
      </c>
    </row>
    <row r="24">
      <c r="A24" s="4" t="inlineStr">
        <is>
          <t>Operating margin % - full economic</t>
        </is>
      </c>
      <c r="C24" s="44">
        <f>IFERROR((C19-C21)/C19,0)</f>
        <v/>
      </c>
      <c r="D24" s="44">
        <f>IFERROR((D19-D21)/D19,0)</f>
        <v/>
      </c>
      <c r="E24" s="44">
        <f>IFERROR((E19-E21)/E19,0)</f>
        <v/>
      </c>
    </row>
  </sheetData>
  <mergeCells count="3">
    <mergeCell ref="A1:E1"/>
    <mergeCell ref="A18:E18"/>
    <mergeCell ref="A10:E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Sensitivity: Cost per M Tokens (Mid base, lab cash basis)</t>
        </is>
      </c>
    </row>
    <row r="2">
      <c r="A2" s="25" t="inlineStr">
        <is>
          <t>Each row varies one driver while holding others at Mid.</t>
        </is>
      </c>
    </row>
    <row r="4">
      <c r="A4" s="9" t="inlineStr">
        <is>
          <t>Driver</t>
        </is>
      </c>
      <c r="B4" s="9" t="inlineStr">
        <is>
          <t>Direction</t>
        </is>
      </c>
      <c r="C4" s="9" t="inlineStr">
        <is>
          <t>-50%</t>
        </is>
      </c>
      <c r="D4" s="9" t="inlineStr">
        <is>
          <t>-25%</t>
        </is>
      </c>
      <c r="E4" s="9" t="inlineStr">
        <is>
          <t>Base (Mid)</t>
        </is>
      </c>
      <c r="F4" s="9" t="inlineStr">
        <is>
          <t>+25%</t>
        </is>
      </c>
      <c r="G4" s="9" t="inlineStr">
        <is>
          <t>+50%</t>
        </is>
      </c>
    </row>
    <row r="5">
      <c r="A5" s="6" t="inlineStr">
        <is>
          <t>Training run cost</t>
        </is>
      </c>
      <c r="B5" s="6" t="inlineStr">
        <is>
          <t>Affects training layer</t>
        </is>
      </c>
      <c r="C5" s="30">
        <f>'Cost Build'!D38-'Cost Build'!D9+'Cost Build'!D9*0.5</f>
        <v/>
      </c>
      <c r="D5" s="30">
        <f>'Cost Build'!D38-'Cost Build'!D9+'Cost Build'!D9*0.75</f>
        <v/>
      </c>
      <c r="E5" s="30">
        <f>'Cost Build'!D38-'Cost Build'!D9+'Cost Build'!D9*1.0</f>
        <v/>
      </c>
      <c r="F5" s="30">
        <f>'Cost Build'!D38-'Cost Build'!D9+'Cost Build'!D9*1.25</f>
        <v/>
      </c>
      <c r="G5" s="30">
        <f>'Cost Build'!D38-'Cost Build'!D9+'Cost Build'!D9*1.5</f>
        <v/>
      </c>
    </row>
    <row r="6">
      <c r="A6" s="6" t="inlineStr">
        <is>
          <t>Lab annual tokens served</t>
        </is>
      </c>
      <c r="B6" s="6" t="inlineStr">
        <is>
          <t>Affects training, R&amp;D, capex (inverse)</t>
        </is>
      </c>
      <c r="C6" s="30">
        <f>'Cost Build'!D38-'Cost Build'!D9-'Cost Build'!D26-'Cost Build'!D34+('Cost Build'!D9+'Cost Build'!D26+'Cost Build'!D34)/0.5</f>
        <v/>
      </c>
      <c r="D6" s="30">
        <f>'Cost Build'!D38-'Cost Build'!D9-'Cost Build'!D26-'Cost Build'!D34+('Cost Build'!D9+'Cost Build'!D26+'Cost Build'!D34)/0.75</f>
        <v/>
      </c>
      <c r="E6" s="30">
        <f>'Cost Build'!D38-'Cost Build'!D9-'Cost Build'!D26-'Cost Build'!D34+('Cost Build'!D9+'Cost Build'!D26+'Cost Build'!D34)/1.0</f>
        <v/>
      </c>
      <c r="F6" s="30">
        <f>'Cost Build'!D38-'Cost Build'!D9-'Cost Build'!D26-'Cost Build'!D34+('Cost Build'!D9+'Cost Build'!D26+'Cost Build'!D34)/1.25</f>
        <v/>
      </c>
      <c r="G6" s="30">
        <f>'Cost Build'!D38-'Cost Build'!D9-'Cost Build'!D26-'Cost Build'!D34+('Cost Build'!D9+'Cost Build'!D26+'Cost Build'!D34)/1.5</f>
        <v/>
      </c>
    </row>
    <row r="7">
      <c r="A7" s="6" t="inlineStr">
        <is>
          <t>GPU $/hr</t>
        </is>
      </c>
      <c r="B7" s="6" t="inlineStr">
        <is>
          <t>Affects inference + infra</t>
        </is>
      </c>
      <c r="C7" s="30">
        <f>'Cost Build'!D38-'Cost Build'!D16-'Cost Build'!D22+('Cost Build'!D16+'Cost Build'!D22)*0.5</f>
        <v/>
      </c>
      <c r="D7" s="30">
        <f>'Cost Build'!D38-'Cost Build'!D16-'Cost Build'!D22+('Cost Build'!D16+'Cost Build'!D22)*0.75</f>
        <v/>
      </c>
      <c r="E7" s="30">
        <f>'Cost Build'!D38-'Cost Build'!D16-'Cost Build'!D22+('Cost Build'!D16+'Cost Build'!D22)*1.0</f>
        <v/>
      </c>
      <c r="F7" s="30">
        <f>'Cost Build'!D38-'Cost Build'!D16-'Cost Build'!D22+('Cost Build'!D16+'Cost Build'!D22)*1.25</f>
        <v/>
      </c>
      <c r="G7" s="30">
        <f>'Cost Build'!D38-'Cost Build'!D16-'Cost Build'!D22+('Cost Build'!D16+'Cost Build'!D22)*1.5</f>
        <v/>
      </c>
    </row>
    <row r="8">
      <c r="A8" s="6" t="inlineStr">
        <is>
          <t>Tokens per GPU-hr</t>
        </is>
      </c>
      <c r="B8" s="6" t="inlineStr">
        <is>
          <t>Inference efficiency (inverse)</t>
        </is>
      </c>
      <c r="C8" s="30">
        <f>'Cost Build'!D38-'Cost Build'!D16-'Cost Build'!D22+('Cost Build'!D16+'Cost Build'!D22)/0.5</f>
        <v/>
      </c>
      <c r="D8" s="30">
        <f>'Cost Build'!D38-'Cost Build'!D16-'Cost Build'!D22+('Cost Build'!D16+'Cost Build'!D22)/0.75</f>
        <v/>
      </c>
      <c r="E8" s="30">
        <f>'Cost Build'!D38-'Cost Build'!D16-'Cost Build'!D22+('Cost Build'!D16+'Cost Build'!D22)/1.0</f>
        <v/>
      </c>
      <c r="F8" s="30">
        <f>'Cost Build'!D38-'Cost Build'!D16-'Cost Build'!D22+('Cost Build'!D16+'Cost Build'!D22)/1.25</f>
        <v/>
      </c>
      <c r="G8" s="30">
        <f>'Cost Build'!D38-'Cost Build'!D16-'Cost Build'!D22+('Cost Build'!D16+'Cost Build'!D22)/1.5</f>
        <v/>
      </c>
    </row>
    <row r="9">
      <c r="A9" s="6" t="inlineStr">
        <is>
          <t>Annual R&amp;D spend</t>
        </is>
      </c>
      <c r="B9" s="6" t="inlineStr">
        <is>
          <t>Affects R&amp;D layer</t>
        </is>
      </c>
      <c r="C9" s="30">
        <f>'Cost Build'!D38-'Cost Build'!D26+'Cost Build'!D26*0.5</f>
        <v/>
      </c>
      <c r="D9" s="30">
        <f>'Cost Build'!D38-'Cost Build'!D26+'Cost Build'!D26*0.75</f>
        <v/>
      </c>
      <c r="E9" s="30">
        <f>'Cost Build'!D38-'Cost Build'!D26+'Cost Build'!D26*1.0</f>
        <v/>
      </c>
      <c r="F9" s="30">
        <f>'Cost Build'!D38-'Cost Build'!D26+'Cost Build'!D26*1.25</f>
        <v/>
      </c>
      <c r="G9" s="30">
        <f>'Cost Build'!D38-'Cost Build'!D26+'Cost Build'!D26*1.5</f>
        <v/>
      </c>
    </row>
    <row r="10">
      <c r="A10" s="6" t="inlineStr">
        <is>
          <t>Useful life of model</t>
        </is>
      </c>
      <c r="B10" s="6" t="inlineStr">
        <is>
          <t>Longer life = more amortization base</t>
        </is>
      </c>
      <c r="C10" s="30">
        <f>'Cost Build'!D38-'Cost Build'!D9+'Cost Build'!D9/0.5</f>
        <v/>
      </c>
      <c r="D10" s="30">
        <f>'Cost Build'!D38-'Cost Build'!D9+'Cost Build'!D9/0.75</f>
        <v/>
      </c>
      <c r="E10" s="30">
        <f>'Cost Build'!D38-'Cost Build'!D9+'Cost Build'!D9/1.0</f>
        <v/>
      </c>
      <c r="F10" s="30">
        <f>'Cost Build'!D38-'Cost Build'!D9+'Cost Build'!D9/1.25</f>
        <v/>
      </c>
      <c r="G10" s="30">
        <f>'Cost Build'!D38-'Cost Build'!D9+'Cost Build'!D9/1.5</f>
        <v/>
      </c>
    </row>
    <row r="11">
      <c r="A11" s="6" t="inlineStr">
        <is>
          <t>Datacenter capacity (MW)</t>
        </is>
      </c>
      <c r="B11" s="6" t="inlineStr">
        <is>
          <t>Affects capex layer</t>
        </is>
      </c>
      <c r="C11" s="30">
        <f>'Cost Build'!D38-'Cost Build'!D34+'Cost Build'!D34*0.5</f>
        <v/>
      </c>
      <c r="D11" s="30">
        <f>'Cost Build'!D38-'Cost Build'!D34+'Cost Build'!D34*0.75</f>
        <v/>
      </c>
      <c r="E11" s="30">
        <f>'Cost Build'!D38-'Cost Build'!D34+'Cost Build'!D34*1.0</f>
        <v/>
      </c>
      <c r="F11" s="30">
        <f>'Cost Build'!D38-'Cost Build'!D34+'Cost Build'!D34*1.25</f>
        <v/>
      </c>
      <c r="G11" s="30">
        <f>'Cost Build'!D38-'Cost Build'!D34+'Cost Build'!D34*1.5</f>
        <v/>
      </c>
    </row>
    <row r="12">
      <c r="A12" s="6" t="inlineStr">
        <is>
          <t>GPU count</t>
        </is>
      </c>
      <c r="B12" s="6" t="inlineStr">
        <is>
          <t>Affects capex layer</t>
        </is>
      </c>
      <c r="C12" s="30">
        <f>'Cost Build'!D38-'Cost Build'!D34+'Cost Build'!D34*0.5</f>
        <v/>
      </c>
      <c r="D12" s="30">
        <f>'Cost Build'!D38-'Cost Build'!D34+'Cost Build'!D34*0.75</f>
        <v/>
      </c>
      <c r="E12" s="30">
        <f>'Cost Build'!D38-'Cost Build'!D34+'Cost Build'!D34*1.0</f>
        <v/>
      </c>
      <c r="F12" s="30">
        <f>'Cost Build'!D38-'Cost Build'!D34+'Cost Build'!D34*1.25</f>
        <v/>
      </c>
      <c r="G12" s="30">
        <f>'Cost Build'!D38-'Cost Build'!D34+'Cost Build'!D34*1.5</f>
        <v/>
      </c>
    </row>
    <row r="13">
      <c r="A13" s="6" t="inlineStr">
        <is>
          <t>Capex ownership %</t>
        </is>
      </c>
      <c r="B13" s="6" t="inlineStr">
        <is>
          <t>See Build vs Rent sheet for full toggle</t>
        </is>
      </c>
      <c r="C13" s="25" t="inlineStr">
        <is>
          <t>See Build vs Rent sheet</t>
        </is>
      </c>
      <c r="D13" s="25" t="inlineStr">
        <is>
          <t>See Build vs Rent sheet</t>
        </is>
      </c>
      <c r="E13" s="25" t="inlineStr">
        <is>
          <t>See Build vs Rent sheet</t>
        </is>
      </c>
      <c r="F13" s="25" t="inlineStr">
        <is>
          <t>See Build vs Rent sheet</t>
        </is>
      </c>
      <c r="G13" s="25" t="inlineStr">
        <is>
          <t>See Build vs Rent sheet</t>
        </is>
      </c>
    </row>
    <row r="15">
      <c r="A15" s="10" t="inlineStr">
        <is>
          <t>Read: which lever moves cost most?</t>
        </is>
      </c>
    </row>
    <row r="16" ht="32" customHeight="1">
      <c r="A16" s="48" t="inlineStr">
        <is>
          <t>• If a row's spread is wide, that driver dominates true cost.</t>
        </is>
      </c>
    </row>
    <row r="17" ht="32" customHeight="1">
      <c r="A17" s="48" t="inlineStr">
        <is>
          <t>• Lab annual tokens now affects three layers (training, R&amp;D, capex) so it is the most leveraged driver.</t>
        </is>
      </c>
    </row>
    <row r="18" ht="32" customHeight="1">
      <c r="A18" s="48" t="inlineStr">
        <is>
          <t>• Capex layer makes datacenter capacity and GPU count first-order drivers, not rounding errors.</t>
        </is>
      </c>
    </row>
  </sheetData>
  <mergeCells count="6">
    <mergeCell ref="A1:G1"/>
    <mergeCell ref="A17:G17"/>
    <mergeCell ref="A18:G18"/>
    <mergeCell ref="A16:G16"/>
    <mergeCell ref="A2:G2"/>
    <mergeCell ref="A15:G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Build vs Rent: Capex Allocation Toggle</t>
        </is>
      </c>
    </row>
    <row r="2">
      <c r="A2" s="25" t="inlineStr">
        <is>
          <t>Shows total cost per M tokens at different ownership mixes. Base case uses Mid scenario assumptions.</t>
        </is>
      </c>
    </row>
    <row r="4">
      <c r="A4" s="2" t="inlineStr">
        <is>
          <t>Key insight</t>
        </is>
      </c>
    </row>
    <row r="5">
      <c r="A5" s="3" t="inlineStr">
        <is>
          <t>Building your own datacenter front-loads capex but lowers ongoing inference cost. Renting from hyperscalers shifts capex burden to them, but they pass it through as higher GPU $/hr. Total ECONOMIC cost should be similar across mixes — it's a question of who carries the risk and balance sheet.</t>
        </is>
      </c>
    </row>
    <row r="6"/>
    <row r="7"/>
    <row r="9">
      <c r="A9" s="9" t="inlineStr">
        <is>
          <t>Ownership %</t>
        </is>
      </c>
      <c r="B9" s="9" t="inlineStr">
        <is>
          <t>0% (all rent)</t>
        </is>
      </c>
      <c r="C9" s="9" t="inlineStr">
        <is>
          <t>25%</t>
        </is>
      </c>
      <c r="D9" s="9" t="inlineStr">
        <is>
          <t>50% (mixed)</t>
        </is>
      </c>
      <c r="E9" s="9" t="inlineStr">
        <is>
          <t>75%</t>
        </is>
      </c>
      <c r="F9" s="9" t="inlineStr">
        <is>
          <t>100% (all own)</t>
        </is>
      </c>
    </row>
    <row r="10">
      <c r="A10" s="6" t="inlineStr">
        <is>
          <t>Effective GPU $/hr</t>
        </is>
      </c>
      <c r="B10" s="30">
        <f>0.0*Assumptions!D12+(1-0.0)*Assumptions!D11</f>
        <v/>
      </c>
      <c r="C10" s="30">
        <f>0.25*Assumptions!D12+(1-0.25)*Assumptions!D11</f>
        <v/>
      </c>
      <c r="D10" s="30">
        <f>0.5*Assumptions!D12+(1-0.5)*Assumptions!D11</f>
        <v/>
      </c>
      <c r="E10" s="30">
        <f>0.75*Assumptions!D12+(1-0.75)*Assumptions!D11</f>
        <v/>
      </c>
      <c r="F10" s="30">
        <f>1.0*Assumptions!D12+(1-1.0)*Assumptions!D11</f>
        <v/>
      </c>
    </row>
    <row r="11">
      <c r="A11" s="6" t="inlineStr">
        <is>
          <t>Inference $/M tokens (output+input)</t>
        </is>
      </c>
      <c r="B11" s="30">
        <f>B10*1000000/Assumptions!D13*(1+Assumptions!D14*Assumptions!D15)</f>
        <v/>
      </c>
      <c r="C11" s="30">
        <f>C10*1000000/Assumptions!D13*(1+Assumptions!D14*Assumptions!D15)</f>
        <v/>
      </c>
      <c r="D11" s="30">
        <f>D10*1000000/Assumptions!D13*(1+Assumptions!D14*Assumptions!D15)</f>
        <v/>
      </c>
      <c r="E11" s="30">
        <f>E10*1000000/Assumptions!D13*(1+Assumptions!D14*Assumptions!D15)</f>
        <v/>
      </c>
      <c r="F11" s="30">
        <f>F10*1000000/Assumptions!D13*(1+Assumptions!D14*Assumptions!D15)</f>
        <v/>
      </c>
    </row>
    <row r="12">
      <c r="A12" s="6" t="inlineStr">
        <is>
          <t>Infra overhead $/M tokens</t>
        </is>
      </c>
      <c r="B12" s="30">
        <f>B11*(Assumptions!D18+Assumptions!D19+Assumptions!D20)</f>
        <v/>
      </c>
      <c r="C12" s="30">
        <f>C11*(Assumptions!D18+Assumptions!D19+Assumptions!D20)</f>
        <v/>
      </c>
      <c r="D12" s="30">
        <f>D11*(Assumptions!D18+Assumptions!D19+Assumptions!D20)</f>
        <v/>
      </c>
      <c r="E12" s="30">
        <f>E11*(Assumptions!D18+Assumptions!D19+Assumptions!D20)</f>
        <v/>
      </c>
      <c r="F12" s="30">
        <f>F11*(Assumptions!D18+Assumptions!D19+Assumptions!D20)</f>
        <v/>
      </c>
    </row>
    <row r="13">
      <c r="A13" s="6" t="inlineStr">
        <is>
          <t>Capex $/M tokens (lab cash)</t>
        </is>
      </c>
      <c r="B13" s="30">
        <f>'Cost Build'!D32*0.0/'Cost Build'!D8</f>
        <v/>
      </c>
      <c r="C13" s="30">
        <f>'Cost Build'!D32*0.25/'Cost Build'!D8</f>
        <v/>
      </c>
      <c r="D13" s="30">
        <f>'Cost Build'!D32*0.5/'Cost Build'!D8</f>
        <v/>
      </c>
      <c r="E13" s="30">
        <f>'Cost Build'!D32*0.75/'Cost Build'!D8</f>
        <v/>
      </c>
      <c r="F13" s="30">
        <f>'Cost Build'!D32*1.0/'Cost Build'!D8</f>
        <v/>
      </c>
    </row>
    <row r="14">
      <c r="A14" s="6" t="inlineStr">
        <is>
          <t>Training + R&amp;D $/M tokens</t>
        </is>
      </c>
      <c r="B14" s="30">
        <f>'Cost Build'!D9+'Cost Build'!D26</f>
        <v/>
      </c>
      <c r="C14" s="30">
        <f>'Cost Build'!D9+'Cost Build'!D26</f>
        <v/>
      </c>
      <c r="D14" s="30">
        <f>'Cost Build'!D9+'Cost Build'!D26</f>
        <v/>
      </c>
      <c r="E14" s="30">
        <f>'Cost Build'!D9+'Cost Build'!D26</f>
        <v/>
      </c>
      <c r="F14" s="30">
        <f>'Cost Build'!D9+'Cost Build'!D26</f>
        <v/>
      </c>
    </row>
    <row r="15">
      <c r="A15" s="49" t="inlineStr">
        <is>
          <t>TOTAL lab cash cost $/M tokens</t>
        </is>
      </c>
      <c r="B15" s="50">
        <f>B11+B12+B13+B14</f>
        <v/>
      </c>
      <c r="C15" s="50">
        <f>C11+C12+C13+C14</f>
        <v/>
      </c>
      <c r="D15" s="50">
        <f>D11+D12+D13+D14</f>
        <v/>
      </c>
      <c r="E15" s="50">
        <f>E11+E12+E13+E14</f>
        <v/>
      </c>
      <c r="F15" s="50">
        <f>F11+F12+F13+F14</f>
        <v/>
      </c>
    </row>
    <row r="16">
      <c r="A16" s="51" t="inlineStr">
        <is>
          <t>TOTAL economic cost $/M tokens</t>
        </is>
      </c>
      <c r="B16" s="52">
        <f>(Assumptions!D12*1000000/Assumptions!D13*(1+Assumptions!D14*Assumptions!D15))+(Assumptions!D12*1000000/Assumptions!D13*(1+Assumptions!D14*Assumptions!D15))*(Assumptions!D18+Assumptions!D19+Assumptions!D20)+'Cost Build'!D32/'Cost Build'!D8+'Cost Build'!D9+'Cost Build'!D26</f>
        <v/>
      </c>
      <c r="C16" s="52">
        <f>(Assumptions!D12*1000000/Assumptions!D13*(1+Assumptions!D14*Assumptions!D15))+(Assumptions!D12*1000000/Assumptions!D13*(1+Assumptions!D14*Assumptions!D15))*(Assumptions!D18+Assumptions!D19+Assumptions!D20)+'Cost Build'!D32/'Cost Build'!D8+'Cost Build'!D9+'Cost Build'!D26</f>
        <v/>
      </c>
      <c r="D16" s="52">
        <f>(Assumptions!D12*1000000/Assumptions!D13*(1+Assumptions!D14*Assumptions!D15))+(Assumptions!D12*1000000/Assumptions!D13*(1+Assumptions!D14*Assumptions!D15))*(Assumptions!D18+Assumptions!D19+Assumptions!D20)+'Cost Build'!D32/'Cost Build'!D8+'Cost Build'!D9+'Cost Build'!D26</f>
        <v/>
      </c>
      <c r="E16" s="52">
        <f>(Assumptions!D12*1000000/Assumptions!D13*(1+Assumptions!D14*Assumptions!D15))+(Assumptions!D12*1000000/Assumptions!D13*(1+Assumptions!D14*Assumptions!D15))*(Assumptions!D18+Assumptions!D19+Assumptions!D20)+'Cost Build'!D32/'Cost Build'!D8+'Cost Build'!D9+'Cost Build'!D26</f>
        <v/>
      </c>
      <c r="F16" s="52">
        <f>(Assumptions!D12*1000000/Assumptions!D13*(1+Assumptions!D14*Assumptions!D15))+(Assumptions!D12*1000000/Assumptions!D13*(1+Assumptions!D14*Assumptions!D15))*(Assumptions!D18+Assumptions!D19+Assumptions!D20)+'Cost Build'!D32/'Cost Build'!D8+'Cost Build'!D9+'Cost Build'!D26</f>
        <v/>
      </c>
      <c r="G16" s="25" t="inlineStr">
        <is>
          <t>(Should be ~constant across mixes)</t>
        </is>
      </c>
    </row>
    <row r="18">
      <c r="A18" s="10" t="inlineStr">
        <is>
          <t>Capex burden split</t>
        </is>
      </c>
    </row>
    <row r="19">
      <c r="A19" s="6" t="inlineStr">
        <is>
          <t>Annual depreciation TOTAL ($M)</t>
        </is>
      </c>
      <c r="B19" s="34">
        <f>'Cost Build'!D32</f>
        <v/>
      </c>
      <c r="C19" s="34">
        <f>'Cost Build'!D32</f>
        <v/>
      </c>
      <c r="D19" s="34">
        <f>'Cost Build'!D32</f>
        <v/>
      </c>
      <c r="E19" s="34">
        <f>'Cost Build'!D32</f>
        <v/>
      </c>
      <c r="F19" s="34">
        <f>'Cost Build'!D32</f>
        <v/>
      </c>
    </row>
    <row r="20">
      <c r="A20" s="6" t="inlineStr">
        <is>
          <t>Borne by lab ($M/yr)</t>
        </is>
      </c>
      <c r="B20" s="33">
        <f>'Cost Build'!D32*0.0</f>
        <v/>
      </c>
      <c r="C20" s="33">
        <f>'Cost Build'!D32*0.25</f>
        <v/>
      </c>
      <c r="D20" s="33">
        <f>'Cost Build'!D32*0.5</f>
        <v/>
      </c>
      <c r="E20" s="33">
        <f>'Cost Build'!D32*0.75</f>
        <v/>
      </c>
      <c r="F20" s="33">
        <f>'Cost Build'!D32*1.0</f>
        <v/>
      </c>
    </row>
    <row r="21">
      <c r="A21" s="6" t="inlineStr">
        <is>
          <t>Borne by hyperscaler ($M/yr)</t>
        </is>
      </c>
      <c r="B21" s="33">
        <f>'Cost Build'!D32*(1-0.0)</f>
        <v/>
      </c>
      <c r="C21" s="33">
        <f>'Cost Build'!D32*(1-0.25)</f>
        <v/>
      </c>
      <c r="D21" s="33">
        <f>'Cost Build'!D32*(1-0.5)</f>
        <v/>
      </c>
      <c r="E21" s="33">
        <f>'Cost Build'!D32*(1-0.75)</f>
        <v/>
      </c>
      <c r="F21" s="33">
        <f>'Cost Build'!D32*(1-1.0)</f>
        <v/>
      </c>
    </row>
    <row r="22">
      <c r="A22" s="4" t="inlineStr">
        <is>
          <t>Total capex commitment, undepreciated ($B)</t>
        </is>
      </c>
      <c r="B22" s="53">
        <f>('Cost Build'!D29+'Cost Build'!D30+'Cost Build'!D31)/1000</f>
        <v/>
      </c>
    </row>
    <row r="24">
      <c r="A24" s="10" t="inlineStr">
        <is>
          <t>What this means</t>
        </is>
      </c>
    </row>
    <row r="25" ht="28" customHeight="1">
      <c r="A25" s="48" t="inlineStr">
        <is>
          <t>• At 0% ownership: Lab pays only for tokens consumed via rental rates. Hyperscaler bears full capex risk.</t>
        </is>
      </c>
    </row>
    <row r="26" ht="28" customHeight="1">
      <c r="A26" s="48" t="inlineStr">
        <is>
          <t>• At 100% ownership: Lab takes all capex on its own balance sheet, pays only operating costs in inference.</t>
        </is>
      </c>
    </row>
    <row r="27" ht="28" customHeight="1">
      <c r="A27" s="48" t="inlineStr">
        <is>
          <t>• The Total ECONOMIC cost row should be roughly constant (orange row). What changes is WHO carries the risk.</t>
        </is>
      </c>
    </row>
    <row r="28" ht="28" customHeight="1">
      <c r="A28" s="48" t="inlineStr">
        <is>
          <t>• Take-or-pay contracts effectively make 'rent' look like 'own' from a risk perspective even though it sits off-balance-sheet.</t>
        </is>
      </c>
    </row>
    <row r="29" ht="28" customHeight="1">
      <c r="A29" s="48" t="inlineStr">
        <is>
          <t>• Capex is the elephant in the room: total commitment is far larger than any single year's revenue.</t>
        </is>
      </c>
    </row>
  </sheetData>
  <mergeCells count="10">
    <mergeCell ref="A24:F24"/>
    <mergeCell ref="A1:G1"/>
    <mergeCell ref="A28:F28"/>
    <mergeCell ref="A27:F27"/>
    <mergeCell ref="A2:G2"/>
    <mergeCell ref="A5:G7"/>
    <mergeCell ref="A18:F18"/>
    <mergeCell ref="A26:F26"/>
    <mergeCell ref="A29:F29"/>
    <mergeCell ref="A25:F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8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Breakeven at Current Cost Structure</t>
        </is>
      </c>
    </row>
    <row r="2">
      <c r="A2" s="25" t="inlineStr">
        <is>
          <t>Inverts the model: at the current full-economic cost per million tokens, what revenue mix and scale would clear the cost stack?</t>
        </is>
      </c>
    </row>
    <row r="4">
      <c r="A4" s="9" t="inlineStr">
        <is>
          <t>Metric</t>
        </is>
      </c>
      <c r="B4" s="9" t="inlineStr">
        <is>
          <t>Notes</t>
        </is>
      </c>
      <c r="C4" s="9" t="inlineStr">
        <is>
          <t>Low</t>
        </is>
      </c>
      <c r="D4" s="9" t="inlineStr">
        <is>
          <t>Mid</t>
        </is>
      </c>
      <c r="E4" s="9" t="inlineStr">
        <is>
          <t>High</t>
        </is>
      </c>
    </row>
    <row r="5">
      <c r="A5" s="10" t="inlineStr">
        <is>
          <t>A. Breakeven price per million tokens</t>
        </is>
      </c>
    </row>
    <row r="6">
      <c r="A6" s="6" t="inlineStr">
        <is>
          <t>Full-economic cost per M tokens</t>
        </is>
      </c>
      <c r="B6" s="6" t="inlineStr">
        <is>
          <t>Margin-neutral price target</t>
        </is>
      </c>
      <c r="C6" s="41">
        <f>'Cost Build'!C39</f>
        <v/>
      </c>
      <c r="D6" s="41">
        <f>'Cost Build'!D39</f>
        <v/>
      </c>
      <c r="E6" s="41">
        <f>'Cost Build'!E39</f>
        <v/>
      </c>
    </row>
    <row r="7">
      <c r="A7" s="6" t="inlineStr">
        <is>
          <t>Current blended consumer yield per M tokens</t>
        </is>
      </c>
      <c r="B7" s="6" t="inlineStr">
        <is>
          <t>From Revenue Build</t>
        </is>
      </c>
      <c r="C7" s="41">
        <f>'Revenue Build'!C10</f>
        <v/>
      </c>
      <c r="D7" s="41">
        <f>'Revenue Build'!D10</f>
        <v/>
      </c>
      <c r="E7" s="41">
        <f>'Revenue Build'!E10</f>
        <v/>
      </c>
    </row>
    <row r="8">
      <c r="A8" s="4" t="inlineStr">
        <is>
          <t>Implicit subsidy per M tokens</t>
        </is>
      </c>
      <c r="B8" s="6" t="inlineStr">
        <is>
          <t>Cost minus consumer yield</t>
        </is>
      </c>
      <c r="C8" s="32">
        <f>C6-C7</f>
        <v/>
      </c>
      <c r="D8" s="32">
        <f>D6-D7</f>
        <v/>
      </c>
      <c r="E8" s="32">
        <f>E6-E7</f>
        <v/>
      </c>
    </row>
    <row r="9">
      <c r="A9" s="4" t="inlineStr">
        <is>
          <t>Required price multiple over current yield</t>
        </is>
      </c>
      <c r="C9" s="54">
        <f>IFERROR(C6/C7,0)</f>
        <v/>
      </c>
      <c r="D9" s="54">
        <f>IFERROR(D6/D7,0)</f>
        <v/>
      </c>
      <c r="E9" s="54">
        <f>IFERROR(E6/E7,0)</f>
        <v/>
      </c>
    </row>
    <row r="11">
      <c r="A11" s="10" t="inlineStr">
        <is>
          <t>B. Annual token volume needed at current revenue mix</t>
        </is>
      </c>
    </row>
    <row r="12">
      <c r="A12" s="6" t="inlineStr">
        <is>
          <t>Current total revenue ($M)</t>
        </is>
      </c>
      <c r="C12" s="34">
        <f>'Revenue Build'!C17</f>
        <v/>
      </c>
      <c r="D12" s="34">
        <f>'Revenue Build'!D17</f>
        <v/>
      </c>
      <c r="E12" s="34">
        <f>'Revenue Build'!E17</f>
        <v/>
      </c>
    </row>
    <row r="13">
      <c r="A13" s="6" t="inlineStr">
        <is>
          <t>Lab tokens served today (trillions/yr)</t>
        </is>
      </c>
      <c r="C13" s="40">
        <f>'Cost Build'!C8</f>
        <v/>
      </c>
      <c r="D13" s="40">
        <f>'Cost Build'!D8</f>
        <v/>
      </c>
      <c r="E13" s="40">
        <f>'Cost Build'!E8</f>
        <v/>
      </c>
    </row>
    <row r="14">
      <c r="A14" s="4" t="inlineStr">
        <is>
          <t>Tokens needed to clear cost at today's revenue (T/yr)</t>
        </is>
      </c>
      <c r="B14" s="6" t="inlineStr">
        <is>
          <t>Rev$ / cost per M = M-token-units; div 1M for trillions</t>
        </is>
      </c>
      <c r="C14" s="55">
        <f>IFERROR(C12/C6,0)</f>
        <v/>
      </c>
      <c r="D14" s="55">
        <f>IFERROR(D12/D6,0)</f>
        <v/>
      </c>
      <c r="E14" s="55">
        <f>IFERROR(E12/E6,0)</f>
        <v/>
      </c>
    </row>
    <row r="15">
      <c r="A15" s="4" t="inlineStr">
        <is>
          <t>Revenue coverage of today's volume</t>
        </is>
      </c>
      <c r="B15" s="6" t="inlineStr">
        <is>
          <t>needed / served today (&gt;100% = overfunded, &lt;100% = revenue gap)</t>
        </is>
      </c>
      <c r="C15" s="56">
        <f>IFERROR(C14/C13,0)</f>
        <v/>
      </c>
      <c r="D15" s="56">
        <f>IFERROR(D14/D13,0)</f>
        <v/>
      </c>
      <c r="E15" s="56">
        <f>IFERROR(E14/E13,0)</f>
        <v/>
      </c>
    </row>
    <row r="16">
      <c r="A16" s="4" t="inlineStr">
        <is>
          <t>Revenue gap on today's volume (T tokens/yr unfunded)</t>
        </is>
      </c>
      <c r="B16" s="6" t="inlineStr">
        <is>
          <t>served today - tokens revenue can clear</t>
        </is>
      </c>
      <c r="C16" s="55">
        <f>C13-C14</f>
        <v/>
      </c>
      <c r="D16" s="55">
        <f>D13-D14</f>
        <v/>
      </c>
      <c r="E16" s="55">
        <f>E13-E14</f>
        <v/>
      </c>
    </row>
    <row r="18">
      <c r="A18" s="10" t="inlineStr">
        <is>
          <t>C. Trade-off grid: revenue per M tokens vs annual revenue ($B), Mid cost basis</t>
        </is>
      </c>
    </row>
    <row r="19">
      <c r="A19" s="25" t="inlineStr">
        <is>
          <t>Tokens needed (trillions/yr) to clear full-economic cost</t>
        </is>
      </c>
    </row>
    <row r="20">
      <c r="A20" s="9" t="inlineStr">
        <is>
          <t>$/M tokens</t>
        </is>
      </c>
      <c r="B20" s="9" t="inlineStr">
        <is>
          <t>$5B/yr</t>
        </is>
      </c>
      <c r="C20" s="9" t="inlineStr">
        <is>
          <t>$20B/yr</t>
        </is>
      </c>
      <c r="D20" s="9" t="inlineStr">
        <is>
          <t>$50B/yr</t>
        </is>
      </c>
      <c r="E20" s="9" t="inlineStr">
        <is>
          <t>$100B/yr</t>
        </is>
      </c>
      <c r="F20" s="9" t="inlineStr">
        <is>
          <t>$250B/yr</t>
        </is>
      </c>
    </row>
    <row r="21">
      <c r="A21" s="57" t="inlineStr">
        <is>
          <t>$20</t>
        </is>
      </c>
      <c r="B21" s="58">
        <f>5000/20</f>
        <v/>
      </c>
      <c r="C21" s="58">
        <f>20000/20</f>
        <v/>
      </c>
      <c r="D21" s="58">
        <f>50000/20</f>
        <v/>
      </c>
      <c r="E21" s="58">
        <f>100000/20</f>
        <v/>
      </c>
      <c r="F21" s="58">
        <f>250000/20</f>
        <v/>
      </c>
    </row>
    <row r="22">
      <c r="A22" s="57" t="inlineStr">
        <is>
          <t>$50</t>
        </is>
      </c>
      <c r="B22" s="58">
        <f>5000/50</f>
        <v/>
      </c>
      <c r="C22" s="58">
        <f>20000/50</f>
        <v/>
      </c>
      <c r="D22" s="58">
        <f>50000/50</f>
        <v/>
      </c>
      <c r="E22" s="58">
        <f>100000/50</f>
        <v/>
      </c>
      <c r="F22" s="58">
        <f>250000/50</f>
        <v/>
      </c>
    </row>
    <row r="23">
      <c r="A23" s="57" t="inlineStr">
        <is>
          <t>$100</t>
        </is>
      </c>
      <c r="B23" s="58">
        <f>5000/100</f>
        <v/>
      </c>
      <c r="C23" s="58">
        <f>20000/100</f>
        <v/>
      </c>
      <c r="D23" s="58">
        <f>50000/100</f>
        <v/>
      </c>
      <c r="E23" s="58">
        <f>100000/100</f>
        <v/>
      </c>
      <c r="F23" s="58">
        <f>250000/100</f>
        <v/>
      </c>
    </row>
    <row r="24">
      <c r="A24" s="57" t="inlineStr">
        <is>
          <t>$150</t>
        </is>
      </c>
      <c r="B24" s="58">
        <f>5000/150</f>
        <v/>
      </c>
      <c r="C24" s="58">
        <f>20000/150</f>
        <v/>
      </c>
      <c r="D24" s="58">
        <f>50000/150</f>
        <v/>
      </c>
      <c r="E24" s="58">
        <f>100000/150</f>
        <v/>
      </c>
      <c r="F24" s="58">
        <f>250000/150</f>
        <v/>
      </c>
    </row>
    <row r="25">
      <c r="A25" s="57" t="inlineStr">
        <is>
          <t>$253</t>
        </is>
      </c>
      <c r="B25" s="58">
        <f>5000/253</f>
        <v/>
      </c>
      <c r="C25" s="58">
        <f>20000/253</f>
        <v/>
      </c>
      <c r="D25" s="58">
        <f>50000/253</f>
        <v/>
      </c>
      <c r="E25" s="58">
        <f>100000/253</f>
        <v/>
      </c>
      <c r="F25" s="58">
        <f>250000/253</f>
        <v/>
      </c>
    </row>
    <row r="26">
      <c r="A26" s="57" t="inlineStr">
        <is>
          <t>$400</t>
        </is>
      </c>
      <c r="B26" s="58">
        <f>5000/400</f>
        <v/>
      </c>
      <c r="C26" s="58">
        <f>20000/400</f>
        <v/>
      </c>
      <c r="D26" s="58">
        <f>50000/400</f>
        <v/>
      </c>
      <c r="E26" s="58">
        <f>100000/400</f>
        <v/>
      </c>
      <c r="F26" s="58">
        <f>250000/400</f>
        <v/>
      </c>
    </row>
    <row r="28">
      <c r="A28" s="25" t="inlineStr">
        <is>
          <t>Reading: at $50/M and $20B annual revenue target, the lab must serve 400T tokens/yr.</t>
        </is>
      </c>
    </row>
  </sheetData>
  <mergeCells count="7">
    <mergeCell ref="A1:G1"/>
    <mergeCell ref="A18:G18"/>
    <mergeCell ref="A11:E11"/>
    <mergeCell ref="A2:G2"/>
    <mergeCell ref="A5:E5"/>
    <mergeCell ref="A19:G19"/>
    <mergeCell ref="A28:G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No-Subsidy Consumer Subscription Pricing</t>
        </is>
      </c>
    </row>
    <row r="2">
      <c r="A2" s="25" t="inlineStr">
        <is>
          <t>What a subscription would cost if priced at full-economic cost. Median tier ties to Assumptions queries_pm and tokens_per_q.</t>
        </is>
      </c>
    </row>
    <row r="4">
      <c r="A4" s="9" t="inlineStr">
        <is>
          <t>Usage tier</t>
        </is>
      </c>
      <c r="B4" s="9" t="inlineStr">
        <is>
          <t>Driver</t>
        </is>
      </c>
      <c r="C4" s="9" t="inlineStr">
        <is>
          <t>Low</t>
        </is>
      </c>
      <c r="D4" s="9" t="inlineStr">
        <is>
          <t>Mid</t>
        </is>
      </c>
      <c r="E4" s="9" t="inlineStr">
        <is>
          <t>High</t>
        </is>
      </c>
    </row>
    <row r="5">
      <c r="A5" s="10" t="inlineStr">
        <is>
          <t>Light tier</t>
        </is>
      </c>
    </row>
    <row r="6">
      <c r="A6" s="6" t="inlineStr">
        <is>
          <t>Queries per month</t>
        </is>
      </c>
      <c r="C6" s="31">
        <f>Assumptions!C48</f>
        <v/>
      </c>
      <c r="D6" s="31">
        <f>Assumptions!D48</f>
        <v/>
      </c>
      <c r="E6" s="31">
        <f>Assumptions!E48</f>
        <v/>
      </c>
    </row>
    <row r="7">
      <c r="A7" s="6" t="inlineStr">
        <is>
          <t>Output tokens per query</t>
        </is>
      </c>
      <c r="C7" s="31">
        <f>Assumptions!C49</f>
        <v/>
      </c>
      <c r="D7" s="31">
        <f>Assumptions!D49</f>
        <v/>
      </c>
      <c r="E7" s="31">
        <f>Assumptions!E49</f>
        <v/>
      </c>
    </row>
    <row r="8">
      <c r="A8" s="6" t="inlineStr">
        <is>
          <t>Monthly output tokens</t>
        </is>
      </c>
      <c r="B8" s="6" t="inlineStr">
        <is>
          <t>queries x tokens/q</t>
        </is>
      </c>
      <c r="C8" s="59">
        <f>C6*C7</f>
        <v/>
      </c>
      <c r="D8" s="59">
        <f>D6*D7</f>
        <v/>
      </c>
      <c r="E8" s="59">
        <f>E6*E7</f>
        <v/>
      </c>
    </row>
    <row r="9">
      <c r="A9" s="4" t="inlineStr">
        <is>
          <t>Monthly cost at full-economic ($/mo)</t>
        </is>
      </c>
      <c r="B9" s="6" t="inlineStr">
        <is>
          <t>tokens x cost per M / 1M</t>
        </is>
      </c>
      <c r="C9" s="32">
        <f>C8*'Cost Build'!C39/1000000</f>
        <v/>
      </c>
      <c r="D9" s="32">
        <f>D8*'Cost Build'!D39/1000000</f>
        <v/>
      </c>
      <c r="E9" s="32">
        <f>E8*'Cost Build'!E39/1000000</f>
        <v/>
      </c>
    </row>
    <row r="10">
      <c r="A10" s="6" t="inlineStr">
        <is>
          <t>Current flat sub price ($/mo)</t>
        </is>
      </c>
      <c r="C10" s="41">
        <f>Assumptions!C40</f>
        <v/>
      </c>
      <c r="D10" s="41">
        <f>Assumptions!D40</f>
        <v/>
      </c>
      <c r="E10" s="41">
        <f>Assumptions!E40</f>
        <v/>
      </c>
    </row>
    <row r="11">
      <c r="A11" s="4" t="inlineStr">
        <is>
          <t>Implicit monthly subsidy ($/mo)</t>
        </is>
      </c>
      <c r="B11" s="6" t="inlineStr">
        <is>
          <t>cost minus flat price</t>
        </is>
      </c>
      <c r="C11" s="29">
        <f>C9-C10</f>
        <v/>
      </c>
      <c r="D11" s="29">
        <f>D9-D10</f>
        <v/>
      </c>
      <c r="E11" s="29">
        <f>E9-E10</f>
        <v/>
      </c>
    </row>
    <row r="12">
      <c r="A12" s="6" t="inlineStr">
        <is>
          <t>Effective $/M revenue at flat rate</t>
        </is>
      </c>
      <c r="B12" s="6" t="inlineStr">
        <is>
          <t>flat price x 1M / monthly tokens</t>
        </is>
      </c>
      <c r="C12" s="30">
        <f>IFERROR(C10*1000000/C8,0)</f>
        <v/>
      </c>
      <c r="D12" s="30">
        <f>IFERROR(D10*1000000/D8,0)</f>
        <v/>
      </c>
      <c r="E12" s="30">
        <f>IFERROR(E10*1000000/E8,0)</f>
        <v/>
      </c>
    </row>
    <row r="14">
      <c r="A14" s="10" t="inlineStr">
        <is>
          <t>Median tier</t>
        </is>
      </c>
    </row>
    <row r="15">
      <c r="A15" s="6" t="inlineStr">
        <is>
          <t>Queries per month</t>
        </is>
      </c>
      <c r="C15" s="31">
        <f>Assumptions!C41</f>
        <v/>
      </c>
      <c r="D15" s="31">
        <f>Assumptions!D41</f>
        <v/>
      </c>
      <c r="E15" s="31">
        <f>Assumptions!E41</f>
        <v/>
      </c>
    </row>
    <row r="16">
      <c r="A16" s="6" t="inlineStr">
        <is>
          <t>Output tokens per query</t>
        </is>
      </c>
      <c r="C16" s="31">
        <f>Assumptions!C42</f>
        <v/>
      </c>
      <c r="D16" s="31">
        <f>Assumptions!D42</f>
        <v/>
      </c>
      <c r="E16" s="31">
        <f>Assumptions!E42</f>
        <v/>
      </c>
    </row>
    <row r="17">
      <c r="A17" s="6" t="inlineStr">
        <is>
          <t>Monthly output tokens</t>
        </is>
      </c>
      <c r="B17" s="6" t="inlineStr">
        <is>
          <t>queries x tokens/q</t>
        </is>
      </c>
      <c r="C17" s="59">
        <f>C15*C16</f>
        <v/>
      </c>
      <c r="D17" s="59">
        <f>D15*D16</f>
        <v/>
      </c>
      <c r="E17" s="59">
        <f>E15*E16</f>
        <v/>
      </c>
    </row>
    <row r="18">
      <c r="A18" s="4" t="inlineStr">
        <is>
          <t>Monthly cost at full-economic ($/mo)</t>
        </is>
      </c>
      <c r="B18" s="6" t="inlineStr">
        <is>
          <t>tokens x cost per M / 1M</t>
        </is>
      </c>
      <c r="C18" s="32">
        <f>C17*'Cost Build'!C39/1000000</f>
        <v/>
      </c>
      <c r="D18" s="32">
        <f>D17*'Cost Build'!D39/1000000</f>
        <v/>
      </c>
      <c r="E18" s="32">
        <f>E17*'Cost Build'!E39/1000000</f>
        <v/>
      </c>
    </row>
    <row r="19">
      <c r="A19" s="6" t="inlineStr">
        <is>
          <t>Current flat sub price ($/mo)</t>
        </is>
      </c>
      <c r="C19" s="41">
        <f>Assumptions!C40</f>
        <v/>
      </c>
      <c r="D19" s="41">
        <f>Assumptions!D40</f>
        <v/>
      </c>
      <c r="E19" s="41">
        <f>Assumptions!E40</f>
        <v/>
      </c>
    </row>
    <row r="20">
      <c r="A20" s="4" t="inlineStr">
        <is>
          <t>Implicit monthly subsidy ($/mo)</t>
        </is>
      </c>
      <c r="B20" s="6" t="inlineStr">
        <is>
          <t>cost minus flat price</t>
        </is>
      </c>
      <c r="C20" s="29">
        <f>C18-C19</f>
        <v/>
      </c>
      <c r="D20" s="29">
        <f>D18-D19</f>
        <v/>
      </c>
      <c r="E20" s="29">
        <f>E18-E19</f>
        <v/>
      </c>
    </row>
    <row r="21">
      <c r="A21" s="6" t="inlineStr">
        <is>
          <t>Effective $/M revenue at flat rate</t>
        </is>
      </c>
      <c r="B21" s="6" t="inlineStr">
        <is>
          <t>flat price x 1M / monthly tokens</t>
        </is>
      </c>
      <c r="C21" s="30">
        <f>IFERROR(C19*1000000/C17,0)</f>
        <v/>
      </c>
      <c r="D21" s="30">
        <f>IFERROR(D19*1000000/D17,0)</f>
        <v/>
      </c>
      <c r="E21" s="30">
        <f>IFERROR(E19*1000000/E17,0)</f>
        <v/>
      </c>
    </row>
    <row r="23">
      <c r="A23" s="10" t="inlineStr">
        <is>
          <t>Power tier</t>
        </is>
      </c>
    </row>
    <row r="24">
      <c r="A24" s="6" t="inlineStr">
        <is>
          <t>Queries per month</t>
        </is>
      </c>
      <c r="C24" s="31">
        <f>Assumptions!C50</f>
        <v/>
      </c>
      <c r="D24" s="31">
        <f>Assumptions!D50</f>
        <v/>
      </c>
      <c r="E24" s="31">
        <f>Assumptions!E50</f>
        <v/>
      </c>
    </row>
    <row r="25">
      <c r="A25" s="6" t="inlineStr">
        <is>
          <t>Output tokens per query</t>
        </is>
      </c>
      <c r="C25" s="31">
        <f>Assumptions!C51</f>
        <v/>
      </c>
      <c r="D25" s="31">
        <f>Assumptions!D51</f>
        <v/>
      </c>
      <c r="E25" s="31">
        <f>Assumptions!E51</f>
        <v/>
      </c>
    </row>
    <row r="26">
      <c r="A26" s="6" t="inlineStr">
        <is>
          <t>Monthly output tokens</t>
        </is>
      </c>
      <c r="B26" s="6" t="inlineStr">
        <is>
          <t>queries x tokens/q</t>
        </is>
      </c>
      <c r="C26" s="59">
        <f>C24*C25</f>
        <v/>
      </c>
      <c r="D26" s="59">
        <f>D24*D25</f>
        <v/>
      </c>
      <c r="E26" s="59">
        <f>E24*E25</f>
        <v/>
      </c>
    </row>
    <row r="27">
      <c r="A27" s="4" t="inlineStr">
        <is>
          <t>Monthly cost at full-economic ($/mo)</t>
        </is>
      </c>
      <c r="B27" s="6" t="inlineStr">
        <is>
          <t>tokens x cost per M / 1M</t>
        </is>
      </c>
      <c r="C27" s="32">
        <f>C26*'Cost Build'!C39/1000000</f>
        <v/>
      </c>
      <c r="D27" s="32">
        <f>D26*'Cost Build'!D39/1000000</f>
        <v/>
      </c>
      <c r="E27" s="32">
        <f>E26*'Cost Build'!E39/1000000</f>
        <v/>
      </c>
    </row>
    <row r="28">
      <c r="A28" s="6" t="inlineStr">
        <is>
          <t>Current flat sub price ($/mo)</t>
        </is>
      </c>
      <c r="C28" s="41">
        <f>Assumptions!C40</f>
        <v/>
      </c>
      <c r="D28" s="41">
        <f>Assumptions!D40</f>
        <v/>
      </c>
      <c r="E28" s="41">
        <f>Assumptions!E40</f>
        <v/>
      </c>
    </row>
    <row r="29">
      <c r="A29" s="4" t="inlineStr">
        <is>
          <t>Implicit monthly subsidy ($/mo)</t>
        </is>
      </c>
      <c r="B29" s="6" t="inlineStr">
        <is>
          <t>cost minus flat price</t>
        </is>
      </c>
      <c r="C29" s="29">
        <f>C27-C28</f>
        <v/>
      </c>
      <c r="D29" s="29">
        <f>D27-D28</f>
        <v/>
      </c>
      <c r="E29" s="29">
        <f>E27-E28</f>
        <v/>
      </c>
    </row>
    <row r="30">
      <c r="A30" s="6" t="inlineStr">
        <is>
          <t>Effective $/M revenue at flat rate</t>
        </is>
      </c>
      <c r="B30" s="6" t="inlineStr">
        <is>
          <t>flat price x 1M / monthly tokens</t>
        </is>
      </c>
      <c r="C30" s="30">
        <f>IFERROR(C28*1000000/C26,0)</f>
        <v/>
      </c>
      <c r="D30" s="30">
        <f>IFERROR(D28*1000000/D26,0)</f>
        <v/>
      </c>
      <c r="E30" s="30">
        <f>IFERROR(E28*1000000/E26,0)</f>
        <v/>
      </c>
    </row>
    <row r="32" ht="28" customHeight="1">
      <c r="A32" s="48" t="inlineStr">
        <is>
          <t>• Light users (50 q/mo) effectively subsidize power users when everyone pays the same flat rate.</t>
        </is>
      </c>
    </row>
    <row r="33" ht="28" customHeight="1">
      <c r="A33" s="48" t="inlineStr">
        <is>
          <t>• Median Mid cost-to-serve ($38/mo) is ~2x the current $20 flat rate.</t>
        </is>
      </c>
    </row>
    <row r="34" ht="28" customHeight="1">
      <c r="A34" s="48" t="inlineStr">
        <is>
          <t>• Power users (2k q/mo, 1k-token outputs) cost ~25x the flat rate.</t>
        </is>
      </c>
    </row>
    <row r="35" ht="28" customHeight="1">
      <c r="A35" s="48" t="inlineStr">
        <is>
          <t>• Implicit subsidy disappears only when (a) per-token cost falls 5-10x or (b) prices move to metered.</t>
        </is>
      </c>
    </row>
  </sheetData>
  <mergeCells count="9">
    <mergeCell ref="A34:E34"/>
    <mergeCell ref="A35:E35"/>
    <mergeCell ref="A2:E2"/>
    <mergeCell ref="A33:E33"/>
    <mergeCell ref="A1:E1"/>
    <mergeCell ref="A23:E23"/>
    <mergeCell ref="A5:E5"/>
    <mergeCell ref="A32:E32"/>
    <mergeCell ref="A14:E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4" customWidth="1" min="1" max="1"/>
    <col width="3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Implicit Demand from Committed Compute Spend</t>
        </is>
      </c>
    </row>
    <row r="2">
      <c r="A2" s="25" t="inlineStr">
        <is>
          <t>Inverts committed multi-year compute spend into the annual token volume it implies at current full-economic cost per million tokens.</t>
        </is>
      </c>
    </row>
    <row r="4">
      <c r="A4" s="9" t="inlineStr">
        <is>
          <t>Lab</t>
        </is>
      </c>
      <c r="B4" s="9" t="inlineStr">
        <is>
          <t>Calc</t>
        </is>
      </c>
      <c r="C4" s="9" t="inlineStr">
        <is>
          <t>Low</t>
        </is>
      </c>
      <c r="D4" s="9" t="inlineStr">
        <is>
          <t>Mid</t>
        </is>
      </c>
      <c r="E4" s="9" t="inlineStr">
        <is>
          <t>High</t>
        </is>
      </c>
    </row>
    <row r="5">
      <c r="A5" s="10" t="inlineStr">
        <is>
          <t>Anthropic</t>
        </is>
      </c>
    </row>
    <row r="6">
      <c r="A6" s="6" t="inlineStr">
        <is>
          <t>5-year commitment ($B)</t>
        </is>
      </c>
      <c r="C6" s="34">
        <f>Assumptions!C52</f>
        <v/>
      </c>
      <c r="D6" s="34">
        <f>Assumptions!D52</f>
        <v/>
      </c>
      <c r="E6" s="34">
        <f>Assumptions!E52</f>
        <v/>
      </c>
    </row>
    <row r="7">
      <c r="A7" s="6" t="inlineStr">
        <is>
          <t>Annual run rate ($B/yr)</t>
        </is>
      </c>
      <c r="B7" s="6" t="inlineStr">
        <is>
          <t>commitment / years</t>
        </is>
      </c>
      <c r="C7" s="60">
        <f>C6/Assumptions!C55</f>
        <v/>
      </c>
      <c r="D7" s="60">
        <f>D6/Assumptions!D55</f>
        <v/>
      </c>
      <c r="E7" s="60">
        <f>E6/Assumptions!E55</f>
        <v/>
      </c>
    </row>
    <row r="8">
      <c r="A8" s="6" t="inlineStr">
        <is>
          <t>Full-economic cost per M tokens ($)</t>
        </is>
      </c>
      <c r="C8" s="41">
        <f>'Cost Build'!C39</f>
        <v/>
      </c>
      <c r="D8" s="41">
        <f>'Cost Build'!D39</f>
        <v/>
      </c>
      <c r="E8" s="41">
        <f>'Cost Build'!E39</f>
        <v/>
      </c>
    </row>
    <row r="9">
      <c r="A9" s="4" t="inlineStr">
        <is>
          <t>Implied tokens served (T/yr)</t>
        </is>
      </c>
      <c r="B9" s="6" t="inlineStr">
        <is>
          <t>annual $B x 1000 / cost per M / 1M</t>
        </is>
      </c>
      <c r="C9" s="55">
        <f>IFERROR(C7*1000/C8,0)</f>
        <v/>
      </c>
      <c r="D9" s="55">
        <f>IFERROR(D7*1000/D8,0)</f>
        <v/>
      </c>
      <c r="E9" s="55">
        <f>IFERROR(E7*1000/E8,0)</f>
        <v/>
      </c>
    </row>
    <row r="11">
      <c r="A11" s="10" t="inlineStr">
        <is>
          <t>OpenAI</t>
        </is>
      </c>
    </row>
    <row r="12">
      <c r="A12" s="6" t="inlineStr">
        <is>
          <t>5-year commitment ($B)</t>
        </is>
      </c>
      <c r="C12" s="34">
        <f>Assumptions!C53</f>
        <v/>
      </c>
      <c r="D12" s="34">
        <f>Assumptions!D53</f>
        <v/>
      </c>
      <c r="E12" s="34">
        <f>Assumptions!E53</f>
        <v/>
      </c>
    </row>
    <row r="13">
      <c r="A13" s="6" t="inlineStr">
        <is>
          <t>Annual run rate ($B/yr)</t>
        </is>
      </c>
      <c r="B13" s="6" t="inlineStr">
        <is>
          <t>commitment / years</t>
        </is>
      </c>
      <c r="C13" s="60">
        <f>C12/Assumptions!C55</f>
        <v/>
      </c>
      <c r="D13" s="60">
        <f>D12/Assumptions!D55</f>
        <v/>
      </c>
      <c r="E13" s="60">
        <f>E12/Assumptions!E55</f>
        <v/>
      </c>
    </row>
    <row r="14">
      <c r="A14" s="6" t="inlineStr">
        <is>
          <t>Full-economic cost per M tokens ($)</t>
        </is>
      </c>
      <c r="C14" s="41">
        <f>'Cost Build'!C39</f>
        <v/>
      </c>
      <c r="D14" s="41">
        <f>'Cost Build'!D39</f>
        <v/>
      </c>
      <c r="E14" s="41">
        <f>'Cost Build'!E39</f>
        <v/>
      </c>
    </row>
    <row r="15">
      <c r="A15" s="4" t="inlineStr">
        <is>
          <t>Implied tokens served (T/yr)</t>
        </is>
      </c>
      <c r="B15" s="6" t="inlineStr">
        <is>
          <t>annual $B x 1000 / cost per M / 1M</t>
        </is>
      </c>
      <c r="C15" s="55">
        <f>IFERROR(C13*1000/C14,0)</f>
        <v/>
      </c>
      <c r="D15" s="55">
        <f>IFERROR(D13*1000/D14,0)</f>
        <v/>
      </c>
      <c r="E15" s="55">
        <f>IFERROR(E13*1000/E14,0)</f>
        <v/>
      </c>
    </row>
    <row r="17">
      <c r="A17" s="10" t="inlineStr">
        <is>
          <t>Baseline lab (xAI/Google/Meta avg)</t>
        </is>
      </c>
    </row>
    <row r="18">
      <c r="A18" s="6" t="inlineStr">
        <is>
          <t>5-year commitment ($B)</t>
        </is>
      </c>
      <c r="C18" s="34">
        <f>Assumptions!C54</f>
        <v/>
      </c>
      <c r="D18" s="34">
        <f>Assumptions!D54</f>
        <v/>
      </c>
      <c r="E18" s="34">
        <f>Assumptions!E54</f>
        <v/>
      </c>
    </row>
    <row r="19">
      <c r="A19" s="6" t="inlineStr">
        <is>
          <t>Annual run rate ($B/yr)</t>
        </is>
      </c>
      <c r="B19" s="6" t="inlineStr">
        <is>
          <t>commitment / years</t>
        </is>
      </c>
      <c r="C19" s="60">
        <f>C18/Assumptions!C55</f>
        <v/>
      </c>
      <c r="D19" s="60">
        <f>D18/Assumptions!D55</f>
        <v/>
      </c>
      <c r="E19" s="60">
        <f>E18/Assumptions!E55</f>
        <v/>
      </c>
    </row>
    <row r="20">
      <c r="A20" s="6" t="inlineStr">
        <is>
          <t>Full-economic cost per M tokens ($)</t>
        </is>
      </c>
      <c r="C20" s="41">
        <f>'Cost Build'!C39</f>
        <v/>
      </c>
      <c r="D20" s="41">
        <f>'Cost Build'!D39</f>
        <v/>
      </c>
      <c r="E20" s="41">
        <f>'Cost Build'!E39</f>
        <v/>
      </c>
    </row>
    <row r="21">
      <c r="A21" s="4" t="inlineStr">
        <is>
          <t>Implied tokens served (T/yr)</t>
        </is>
      </c>
      <c r="B21" s="6" t="inlineStr">
        <is>
          <t>annual $B x 1000 / cost per M / 1M</t>
        </is>
      </c>
      <c r="C21" s="55">
        <f>IFERROR(C19*1000/C20,0)</f>
        <v/>
      </c>
      <c r="D21" s="55">
        <f>IFERROR(D19*1000/D20,0)</f>
        <v/>
      </c>
      <c r="E21" s="55">
        <f>IFERROR(E19*1000/E20,0)</f>
        <v/>
      </c>
    </row>
    <row r="23">
      <c r="A23" s="10" t="inlineStr">
        <is>
          <t>Industry total</t>
        </is>
      </c>
    </row>
    <row r="24">
      <c r="A24" s="4" t="inlineStr">
        <is>
          <t>Total 5-year commitment ($B)</t>
        </is>
      </c>
      <c r="C24" s="42">
        <f>C6+C12+C18</f>
        <v/>
      </c>
      <c r="D24" s="42">
        <f>D6+D12+D18</f>
        <v/>
      </c>
      <c r="E24" s="42">
        <f>E6+E12+E18</f>
        <v/>
      </c>
    </row>
    <row r="25">
      <c r="A25" s="4" t="inlineStr">
        <is>
          <t>Total annual run rate ($B/yr)</t>
        </is>
      </c>
      <c r="C25" s="61">
        <f>C7+C13+C19</f>
        <v/>
      </c>
      <c r="D25" s="61">
        <f>D7+D13+D19</f>
        <v/>
      </c>
      <c r="E25" s="61">
        <f>E7+E13+E19</f>
        <v/>
      </c>
    </row>
    <row r="26">
      <c r="A26" s="35" t="inlineStr">
        <is>
          <t>Total implied tokens (T/yr)</t>
        </is>
      </c>
      <c r="C26" s="62">
        <f>C9+C15+C21</f>
        <v/>
      </c>
      <c r="D26" s="62">
        <f>D9+D15+D21</f>
        <v/>
      </c>
      <c r="E26" s="62">
        <f>E9+E15+E21</f>
        <v/>
      </c>
    </row>
    <row r="28">
      <c r="A28" s="6" t="inlineStr">
        <is>
          <t>Industry tokens served today (T/yr)</t>
        </is>
      </c>
      <c r="C28" s="31">
        <f>Assumptions!C7</f>
        <v/>
      </c>
      <c r="D28" s="31">
        <f>Assumptions!D7</f>
        <v/>
      </c>
      <c r="E28" s="31">
        <f>Assumptions!E7</f>
        <v/>
      </c>
    </row>
    <row r="29">
      <c r="A29" s="4" t="inlineStr">
        <is>
          <t>Industry growth multiple implied</t>
        </is>
      </c>
      <c r="B29" s="6" t="inlineStr">
        <is>
          <t>implied / today</t>
        </is>
      </c>
      <c r="C29" s="54">
        <f>IFERROR(C26/C28,0)</f>
        <v/>
      </c>
      <c r="D29" s="54">
        <f>IFERROR(D26/D28,0)</f>
        <v/>
      </c>
      <c r="E29" s="54">
        <f>IFERROR(E26/E28,0)</f>
        <v/>
      </c>
    </row>
    <row r="31">
      <c r="A31" s="25" t="inlineStr">
        <is>
          <t>Outputs exported to Plausibility and Capex Perspective:</t>
        </is>
      </c>
    </row>
  </sheetData>
  <mergeCells count="7">
    <mergeCell ref="A2:E2"/>
    <mergeCell ref="A11:E11"/>
    <mergeCell ref="A1:E1"/>
    <mergeCell ref="A5:E5"/>
    <mergeCell ref="A23:E23"/>
    <mergeCell ref="A31:E31"/>
    <mergeCell ref="A17:E1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48" customWidth="1" min="1" max="1"/>
    <col width="36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Plausibility Check: Can Implied Demand Be Real?</t>
        </is>
      </c>
    </row>
    <row r="2">
      <c r="A2" s="25" t="inlineStr">
        <is>
          <t>Three independent lenses on whether the token volumes implied by committed compute spend can plausibly be absorbed.</t>
        </is>
      </c>
    </row>
    <row r="4">
      <c r="A4" s="9" t="inlineStr">
        <is>
          <t>Metric</t>
        </is>
      </c>
      <c r="B4" s="9" t="inlineStr">
        <is>
          <t>Calc</t>
        </is>
      </c>
      <c r="C4" s="9" t="inlineStr">
        <is>
          <t>Low</t>
        </is>
      </c>
      <c r="D4" s="9" t="inlineStr">
        <is>
          <t>Mid</t>
        </is>
      </c>
      <c r="E4" s="9" t="inlineStr">
        <is>
          <t>High</t>
        </is>
      </c>
    </row>
    <row r="5">
      <c r="A5" s="10" t="inlineStr">
        <is>
          <t>Lens A: Heavy-user equivalents needed</t>
        </is>
      </c>
    </row>
    <row r="6">
      <c r="A6" s="6" t="inlineStr">
        <is>
          <t>Industry implied tokens (T/yr)</t>
        </is>
      </c>
      <c r="C6" s="40">
        <f>'Implicit Demand'!C26</f>
        <v/>
      </c>
      <c r="D6" s="40">
        <f>'Implicit Demand'!D26</f>
        <v/>
      </c>
      <c r="E6" s="40">
        <f>'Implicit Demand'!E26</f>
        <v/>
      </c>
    </row>
    <row r="7">
      <c r="A7" s="6" t="inlineStr">
        <is>
          <t>Heavy user annual tokens (M/yr)</t>
        </is>
      </c>
      <c r="C7" s="40">
        <f>Assumptions!C56</f>
        <v/>
      </c>
      <c r="D7" s="40">
        <f>Assumptions!D56</f>
        <v/>
      </c>
      <c r="E7" s="40">
        <f>Assumptions!E56</f>
        <v/>
      </c>
    </row>
    <row r="8">
      <c r="A8" s="4" t="inlineStr">
        <is>
          <t>Heavy-user equivalents required (millions)</t>
        </is>
      </c>
      <c r="B8" s="6" t="inlineStr">
        <is>
          <t>T tokens / heavy user M tokens (T/M = millions)</t>
        </is>
      </c>
      <c r="C8" s="55">
        <f>IFERROR(C6/C7,0)</f>
        <v/>
      </c>
      <c r="D8" s="55">
        <f>IFERROR(D6/D7,0)</f>
        <v/>
      </c>
      <c r="E8" s="55">
        <f>IFERROR(E6/E7,0)</f>
        <v/>
      </c>
    </row>
    <row r="10">
      <c r="A10" s="10" t="inlineStr">
        <is>
          <t>Lens B: Enterprise seats implied</t>
        </is>
      </c>
    </row>
    <row r="11">
      <c r="A11" s="6" t="inlineStr">
        <is>
          <t>Industry annual run rate ($B/yr)</t>
        </is>
      </c>
      <c r="C11" s="63">
        <f>'Implicit Demand'!C25</f>
        <v/>
      </c>
      <c r="D11" s="63">
        <f>'Implicit Demand'!D25</f>
        <v/>
      </c>
      <c r="E11" s="63">
        <f>'Implicit Demand'!E25</f>
        <v/>
      </c>
    </row>
    <row r="12">
      <c r="A12" s="6" t="inlineStr">
        <is>
          <t>Enterprise seat price ($/seat/yr)</t>
        </is>
      </c>
      <c r="C12" s="34">
        <f>Assumptions!C57</f>
        <v/>
      </c>
      <c r="D12" s="34">
        <f>Assumptions!D57</f>
        <v/>
      </c>
      <c r="E12" s="34">
        <f>Assumptions!E57</f>
        <v/>
      </c>
    </row>
    <row r="13">
      <c r="A13" s="4" t="inlineStr">
        <is>
          <t>Seats needed to fund commitments (millions)</t>
        </is>
      </c>
      <c r="B13" s="6" t="inlineStr">
        <is>
          <t>annual $B x 1B / seat price / 1M</t>
        </is>
      </c>
      <c r="C13" s="55">
        <f>IFERROR(C11*1000000000/C12/1000000,0)</f>
        <v/>
      </c>
      <c r="D13" s="55">
        <f>IFERROR(D11*1000000000/D12/1000000,0)</f>
        <v/>
      </c>
      <c r="E13" s="55">
        <f>IFERROR(E11*1000000000/E12/1000000,0)</f>
        <v/>
      </c>
    </row>
    <row r="15">
      <c r="A15" s="10" t="inlineStr">
        <is>
          <t>Lens C: Growth multiple vs today's industry</t>
        </is>
      </c>
    </row>
    <row r="16">
      <c r="A16" s="4" t="inlineStr">
        <is>
          <t>Industry growth multiple implied</t>
        </is>
      </c>
      <c r="B16" s="6" t="inlineStr">
        <is>
          <t>from Implicit Demand</t>
        </is>
      </c>
      <c r="C16" s="64">
        <f>'Implicit Demand'!C29</f>
        <v/>
      </c>
      <c r="D16" s="64">
        <f>'Implicit Demand'!D29</f>
        <v/>
      </c>
      <c r="E16" s="64">
        <f>'Implicit Demand'!E29</f>
        <v/>
      </c>
    </row>
    <row r="18" ht="28" customHeight="1">
      <c r="A18" s="48" t="inlineStr">
        <is>
          <t>• Heavy-user equivalents in tens of millions imply ChatGPT-style mass adoption at higher per-user intensity than today.</t>
        </is>
      </c>
    </row>
    <row r="19" ht="28" customHeight="1">
      <c r="A19" s="48" t="inlineStr">
        <is>
          <t>• Enterprise seats in tens of millions implies coverage well beyond today's enterprise SaaS footprint for any single category.</t>
        </is>
      </c>
    </row>
    <row r="20" ht="28" customHeight="1">
      <c r="A20" s="48" t="inlineStr">
        <is>
          <t>• Growth multiples of 2-3x against a base that already grew 10x in the prior 18 months are what these commitments price in.</t>
        </is>
      </c>
    </row>
  </sheetData>
  <mergeCells count="8">
    <mergeCell ref="A20:E20"/>
    <mergeCell ref="A2:E2"/>
    <mergeCell ref="A15:E15"/>
    <mergeCell ref="A10:E10"/>
    <mergeCell ref="A19:E19"/>
    <mergeCell ref="A1:E1"/>
    <mergeCell ref="A5:E5"/>
    <mergeCell ref="A18:E1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38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Capex in Perspective</t>
        </is>
      </c>
    </row>
    <row r="2">
      <c r="A2" s="25" t="inlineStr">
        <is>
          <t>Two views: a single lab's footprint, and the industry-wide footprint implied by committed multi-year spend.</t>
        </is>
      </c>
    </row>
    <row r="4">
      <c r="A4" s="9" t="inlineStr">
        <is>
          <t>Metric</t>
        </is>
      </c>
      <c r="B4" s="9" t="inlineStr">
        <is>
          <t>Calc</t>
        </is>
      </c>
      <c r="C4" s="9" t="inlineStr">
        <is>
          <t>Low</t>
        </is>
      </c>
      <c r="D4" s="9" t="inlineStr">
        <is>
          <t>Mid</t>
        </is>
      </c>
      <c r="E4" s="9" t="inlineStr">
        <is>
          <t>High</t>
        </is>
      </c>
    </row>
    <row r="5">
      <c r="A5" s="10" t="inlineStr">
        <is>
          <t>View A: Per-lab footprint (one frontier lab)</t>
        </is>
      </c>
    </row>
    <row r="6">
      <c r="A6" s="6" t="inlineStr">
        <is>
          <t>One-time capex total ($M)</t>
        </is>
      </c>
      <c r="B6" s="6" t="inlineStr">
        <is>
          <t>DC + GPU + power infra</t>
        </is>
      </c>
      <c r="C6" s="33">
        <f>'Cost Build'!C29+'Cost Build'!C30+'Cost Build'!C31</f>
        <v/>
      </c>
      <c r="D6" s="33">
        <f>'Cost Build'!D29+'Cost Build'!D30+'Cost Build'!D31</f>
        <v/>
      </c>
      <c r="E6" s="33">
        <f>'Cost Build'!E29+'Cost Build'!E30+'Cost Build'!E31</f>
        <v/>
      </c>
    </row>
    <row r="7">
      <c r="A7" s="6" t="inlineStr">
        <is>
          <t>Annual depreciation ($M)</t>
        </is>
      </c>
      <c r="C7" s="34">
        <f>'Cost Build'!C32</f>
        <v/>
      </c>
      <c r="D7" s="34">
        <f>'Cost Build'!D32</f>
        <v/>
      </c>
      <c r="E7" s="34">
        <f>'Cost Build'!E32</f>
        <v/>
      </c>
    </row>
    <row r="8">
      <c r="A8" s="6" t="inlineStr">
        <is>
          <t>Datacenter capacity (MW)</t>
        </is>
      </c>
      <c r="C8" s="31">
        <f>Assumptions!C28</f>
        <v/>
      </c>
      <c r="D8" s="31">
        <f>Assumptions!D28</f>
        <v/>
      </c>
      <c r="E8" s="31">
        <f>Assumptions!E28</f>
        <v/>
      </c>
    </row>
    <row r="10">
      <c r="A10" s="4" t="inlineStr">
        <is>
          <t>Capex total as bps of US GDP</t>
        </is>
      </c>
      <c r="B10" s="6" t="inlineStr">
        <is>
          <t>capex $M / (GDP $T x 1M) x 10000</t>
        </is>
      </c>
      <c r="C10" s="65">
        <f>IFERROR(C6/(Assumptions!C60*1000000)*10000,0)</f>
        <v/>
      </c>
      <c r="D10" s="65">
        <f>IFERROR(D6/(Assumptions!D60*1000000)*10000,0)</f>
        <v/>
      </c>
      <c r="E10" s="65">
        <f>IFERROR(E6/(Assumptions!E60*1000000)*10000,0)</f>
        <v/>
      </c>
    </row>
    <row r="11">
      <c r="A11" s="4" t="inlineStr">
        <is>
          <t>Annual depreciation as % of US business capex</t>
        </is>
      </c>
      <c r="B11" s="6" t="inlineStr">
        <is>
          <t>depr $M / (business capex $T x 1M)</t>
        </is>
      </c>
      <c r="C11" s="66">
        <f>IFERROR(C7/(Assumptions!C61*1000000),0)</f>
        <v/>
      </c>
      <c r="D11" s="66">
        <f>IFERROR(D7/(Assumptions!D61*1000000),0)</f>
        <v/>
      </c>
      <c r="E11" s="66">
        <f>IFERROR(E7/(Assumptions!E61*1000000),0)</f>
        <v/>
      </c>
    </row>
    <row r="12">
      <c r="A12" s="4" t="inlineStr">
        <is>
          <t>DC capacity as % of US grid peak demand</t>
        </is>
      </c>
      <c r="B12" s="6" t="inlineStr">
        <is>
          <t>DC MW / (grid GW x 1000)</t>
        </is>
      </c>
      <c r="C12" s="66">
        <f>IFERROR(C8/(Assumptions!C62*1000),0)</f>
        <v/>
      </c>
      <c r="D12" s="66">
        <f>IFERROR(D8/(Assumptions!D62*1000),0)</f>
        <v/>
      </c>
      <c r="E12" s="66">
        <f>IFERROR(E8/(Assumptions!E62*1000),0)</f>
        <v/>
      </c>
    </row>
    <row r="13">
      <c r="A13" s="4" t="inlineStr">
        <is>
          <t>Annual depreciation per US household ($/yr)</t>
        </is>
      </c>
      <c r="B13" s="6" t="inlineStr">
        <is>
          <t>depr $M / households (M) = $/household/yr</t>
        </is>
      </c>
      <c r="C13" s="32">
        <f>IFERROR(C7/Assumptions!C63,0)</f>
        <v/>
      </c>
      <c r="D13" s="32">
        <f>IFERROR(D7/Assumptions!D63,0)</f>
        <v/>
      </c>
      <c r="E13" s="32">
        <f>IFERROR(E7/Assumptions!E63,0)</f>
        <v/>
      </c>
    </row>
    <row r="15">
      <c r="A15" s="10" t="inlineStr">
        <is>
          <t>View B: Industry-wide footprint (5-year committed spend)</t>
        </is>
      </c>
    </row>
    <row r="16">
      <c r="A16" s="25" t="inlineStr">
        <is>
          <t>(Anthropic + OpenAI + one baseline-lab proxy; not a literal industry total)</t>
        </is>
      </c>
    </row>
    <row r="17">
      <c r="A17" s="6" t="inlineStr">
        <is>
          <t>Industry 5-year commitment ($B)</t>
        </is>
      </c>
      <c r="C17" s="34">
        <f>'Implicit Demand'!C24</f>
        <v/>
      </c>
      <c r="D17" s="34">
        <f>'Implicit Demand'!D24</f>
        <v/>
      </c>
      <c r="E17" s="34">
        <f>'Implicit Demand'!E24</f>
        <v/>
      </c>
    </row>
    <row r="18">
      <c r="A18" s="6" t="inlineStr">
        <is>
          <t>Industry annual run rate ($B/yr)</t>
        </is>
      </c>
      <c r="C18" s="63">
        <f>'Implicit Demand'!C25</f>
        <v/>
      </c>
      <c r="D18" s="63">
        <f>'Implicit Demand'!D25</f>
        <v/>
      </c>
      <c r="E18" s="63">
        <f>'Implicit Demand'!E25</f>
        <v/>
      </c>
    </row>
    <row r="20">
      <c r="A20" s="4" t="inlineStr">
        <is>
          <t>Annual rate as % of US GDP</t>
        </is>
      </c>
      <c r="B20" s="6" t="inlineStr">
        <is>
          <t>annual $B / (GDP $T x 1000)</t>
        </is>
      </c>
      <c r="C20" s="66">
        <f>IFERROR(C18/(Assumptions!C60*1000),0)</f>
        <v/>
      </c>
      <c r="D20" s="66">
        <f>IFERROR(D18/(Assumptions!D60*1000),0)</f>
        <v/>
      </c>
      <c r="E20" s="66">
        <f>IFERROR(E18/(Assumptions!E60*1000),0)</f>
        <v/>
      </c>
    </row>
    <row r="21">
      <c r="A21" s="4" t="inlineStr">
        <is>
          <t>Annual rate as % of US business capex</t>
        </is>
      </c>
      <c r="B21" s="6" t="inlineStr">
        <is>
          <t>annual $B / (business capex $T x 1000)</t>
        </is>
      </c>
      <c r="C21" s="56">
        <f>IFERROR(C18/(Assumptions!C61*1000),0)</f>
        <v/>
      </c>
      <c r="D21" s="56">
        <f>IFERROR(D18/(Assumptions!D61*1000),0)</f>
        <v/>
      </c>
      <c r="E21" s="56">
        <f>IFERROR(E18/(Assumptions!E61*1000),0)</f>
        <v/>
      </c>
    </row>
    <row r="23">
      <c r="A23" s="10" t="inlineStr">
        <is>
          <t>Implied physical buildout</t>
        </is>
      </c>
    </row>
    <row r="24">
      <c r="A24" s="6" t="inlineStr">
        <is>
          <t>Hardware share of committed spend</t>
        </is>
      </c>
      <c r="C24" s="67">
        <f>Assumptions!C64</f>
        <v/>
      </c>
      <c r="D24" s="67">
        <f>Assumptions!D64</f>
        <v/>
      </c>
      <c r="E24" s="67">
        <f>Assumptions!E64</f>
        <v/>
      </c>
    </row>
    <row r="25">
      <c r="A25" s="6" t="inlineStr">
        <is>
          <t>Implied industry hardware capex ($B/yr)</t>
        </is>
      </c>
      <c r="B25" s="6" t="inlineStr">
        <is>
          <t>annual rate x hardware share</t>
        </is>
      </c>
      <c r="C25" s="60">
        <f>C18*C24</f>
        <v/>
      </c>
      <c r="D25" s="60">
        <f>D18*D24</f>
        <v/>
      </c>
      <c r="E25" s="60">
        <f>E18*E24</f>
        <v/>
      </c>
    </row>
    <row r="26">
      <c r="A26" s="4" t="inlineStr">
        <is>
          <t>Implied annual DC MW added</t>
        </is>
      </c>
      <c r="B26" s="6" t="inlineStr">
        <is>
          <t>hardware $B x 1000 / DC cost per MW</t>
        </is>
      </c>
      <c r="C26" s="68">
        <f>IFERROR(C25*1000/Assumptions!C29,0)</f>
        <v/>
      </c>
      <c r="D26" s="68">
        <f>IFERROR(D25*1000/Assumptions!D29,0)</f>
        <v/>
      </c>
      <c r="E26" s="68">
        <f>IFERROR(E25*1000/Assumptions!E29,0)</f>
        <v/>
      </c>
    </row>
    <row r="27">
      <c r="A27" s="4" t="inlineStr">
        <is>
          <t>New DC MW as % of US grid peak</t>
        </is>
      </c>
      <c r="C27" s="56">
        <f>IFERROR(C26/(Assumptions!C62*1000),0)</f>
        <v/>
      </c>
      <c r="D27" s="56">
        <f>IFERROR(D26/(Assumptions!D62*1000),0)</f>
        <v/>
      </c>
      <c r="E27" s="56">
        <f>IFERROR(E26/(Assumptions!E62*1000),0)</f>
        <v/>
      </c>
    </row>
    <row r="29" ht="28" customHeight="1">
      <c r="A29" s="48" t="inlineStr">
        <is>
          <t>• Per-lab capex of $30-50B is bps-level vs US GDP but a single-digit % of total US business investment.</t>
        </is>
      </c>
    </row>
    <row r="30" ht="28" customHeight="1">
      <c r="A30" s="48" t="inlineStr">
        <is>
          <t>• Industry annual run rate at Mid (~$120B/yr) is roughly 0.4% of US GDP - measurable but not implausible at the macro level.</t>
        </is>
      </c>
    </row>
    <row r="31" ht="28" customHeight="1">
      <c r="A31" s="48" t="inlineStr">
        <is>
          <t>• Physical constraint is grid capacity: implied new DC builds approach single-digit % of US peak demand annually.</t>
        </is>
      </c>
    </row>
    <row r="32" ht="28" customHeight="1">
      <c r="A32" s="48" t="inlineStr">
        <is>
          <t>• The macro test isn't 'can the economy afford it' - it's 'can power/grid/permitting absorb it on this schedule.'</t>
        </is>
      </c>
    </row>
  </sheetData>
  <mergeCells count="10">
    <mergeCell ref="A30:E30"/>
    <mergeCell ref="A29:E29"/>
    <mergeCell ref="A2:E2"/>
    <mergeCell ref="A16:E16"/>
    <mergeCell ref="A15:E15"/>
    <mergeCell ref="A1:E1"/>
    <mergeCell ref="A5:E5"/>
    <mergeCell ref="A23:E23"/>
    <mergeCell ref="A32:E32"/>
    <mergeCell ref="A31:E3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8" customWidth="1" min="4" max="4"/>
    <col width="38" customWidth="1" min="5" max="5"/>
  </cols>
  <sheetData>
    <row r="1" ht="36" customHeight="1">
      <c r="A1" s="69" t="inlineStr">
        <is>
          <t>PRE-ANNOUNCEMENT (early 2026): Anthropic modeled as Amazon-stack proxy. See Stacks - Post Announcement for updated framing after the April/May 2026 Anthropic compute deals (Google $40B + TPUs, xAI Colossus 1, expanded Amazon).</t>
        </is>
      </c>
    </row>
    <row r="2">
      <c r="A2" s="1" t="inlineStr">
        <is>
          <t>Three-Way Competitive Cost Comparison</t>
        </is>
      </c>
    </row>
    <row r="3">
      <c r="A3" s="25" t="inlineStr">
        <is>
          <t>Multipliers applied to Mid scenario base cost. 1.0x = baseline lab cost. &lt;1.0x = cost advantage. &gt;1.0x = cost disadvantage.</t>
        </is>
      </c>
    </row>
    <row r="5">
      <c r="A5" s="10" t="inlineStr">
        <is>
          <t>The three vertical stacks</t>
        </is>
      </c>
    </row>
    <row r="6" ht="28" customHeight="1">
      <c r="A6" s="70" t="inlineStr">
        <is>
          <t>Google</t>
        </is>
      </c>
      <c r="B6" s="71" t="inlineStr">
        <is>
          <t>Search/Ads -&gt; TPUs -&gt; Datacenters -&gt; Gemini -&gt; Workspace/Android/Search distribution</t>
        </is>
      </c>
    </row>
    <row r="7" ht="28" customHeight="1">
      <c r="A7" s="72" t="inlineStr">
        <is>
          <t>Microsoft + OpenAI</t>
        </is>
      </c>
      <c r="B7" s="71" t="inlineStr">
        <is>
          <t>Azure -&gt; Nvidia GPUs -&gt; Datacenters -&gt; GPT -&gt; Office/Windows/GitHub distribution</t>
        </is>
      </c>
    </row>
    <row r="8" ht="28" customHeight="1">
      <c r="A8" s="73" t="inlineStr">
        <is>
          <t>Amazon + Anthropic</t>
        </is>
      </c>
      <c r="B8" s="71" t="inlineStr">
        <is>
          <t>AWS -&gt; Trainium/Nvidia -&gt; Datacenters -&gt; Claude -&gt; AWS Bedrock distribution</t>
        </is>
      </c>
    </row>
    <row r="10">
      <c r="A10" s="10" t="inlineStr">
        <is>
          <t>Cost layer multipliers vs baseline lab (editable - blue cells)</t>
        </is>
      </c>
    </row>
    <row r="11">
      <c r="A11" s="9" t="inlineStr">
        <is>
          <t>Cost Layer</t>
        </is>
      </c>
      <c r="B11" s="9" t="inlineStr">
        <is>
          <t>Google</t>
        </is>
      </c>
      <c r="C11" s="9" t="inlineStr">
        <is>
          <t>MSFT+OpenAI</t>
        </is>
      </c>
      <c r="D11" s="9" t="inlineStr">
        <is>
          <t>Amazon+Anthropic</t>
        </is>
      </c>
      <c r="E11" s="9" t="inlineStr">
        <is>
          <t>Notes</t>
        </is>
      </c>
    </row>
    <row r="12">
      <c r="A12" s="6" t="inlineStr">
        <is>
          <t>Training cost</t>
        </is>
      </c>
      <c r="B12" s="74" t="n">
        <v>1</v>
      </c>
      <c r="C12" s="75" t="n">
        <v>1</v>
      </c>
      <c r="D12" s="76" t="n">
        <v>1</v>
      </c>
      <c r="E12" s="77" t="inlineStr">
        <is>
          <t>Roughly comparable across labs at the frontier</t>
        </is>
      </c>
    </row>
    <row r="13">
      <c r="A13" s="6" t="inlineStr">
        <is>
          <t>Inference compute (silicon)</t>
        </is>
      </c>
      <c r="B13" s="74" t="n">
        <v>0.55</v>
      </c>
      <c r="C13" s="75" t="n">
        <v>1</v>
      </c>
      <c r="D13" s="76" t="n">
        <v>0.85</v>
      </c>
      <c r="E13" s="77" t="inlineStr">
        <is>
          <t>Google: TPU vs Nvidia 70% margin. Anthropic: some Trainium offset. OpenAI: pays full Nvidia tax.</t>
        </is>
      </c>
    </row>
    <row r="14">
      <c r="A14" s="6" t="inlineStr">
        <is>
          <t>Infrastructure overhead</t>
        </is>
      </c>
      <c r="B14" s="74" t="n">
        <v>0.65</v>
      </c>
      <c r="C14" s="75" t="n">
        <v>1</v>
      </c>
      <c r="D14" s="76" t="n">
        <v>0.95</v>
      </c>
      <c r="E14" s="77" t="inlineStr">
        <is>
          <t>Google has 25 yrs of hyperscale ops experience. MSFT/AWS catching up but trail.</t>
        </is>
      </c>
    </row>
    <row r="15">
      <c r="A15" s="6" t="inlineStr">
        <is>
          <t>R&amp;D / people / data</t>
        </is>
      </c>
      <c r="B15" s="74" t="n">
        <v>0.85</v>
      </c>
      <c r="C15" s="75" t="n">
        <v>1</v>
      </c>
      <c r="D15" s="76" t="n">
        <v>1</v>
      </c>
      <c r="E15" s="77" t="inlineStr">
        <is>
          <t>Google has captive data (Search/YouTube). All have similar talent costs.</t>
        </is>
      </c>
    </row>
    <row r="16">
      <c r="A16" s="6" t="inlineStr">
        <is>
          <t>Capex (effective burden)</t>
        </is>
      </c>
      <c r="B16" s="74" t="n">
        <v>0.7</v>
      </c>
      <c r="C16" s="75" t="n">
        <v>1</v>
      </c>
      <c r="D16" s="76" t="n">
        <v>1</v>
      </c>
      <c r="E16" s="77" t="inlineStr">
        <is>
          <t>Google self-funds from $90B+ cash flow. MSFT/Amazon also strong but capex is dedicated AI buildout.</t>
        </is>
      </c>
    </row>
    <row r="17">
      <c r="A17" s="6" t="inlineStr">
        <is>
          <t>Distribution / CAC</t>
        </is>
      </c>
      <c r="B17" s="74" t="n">
        <v>0.3</v>
      </c>
      <c r="C17" s="75" t="n">
        <v>0.6</v>
      </c>
      <c r="D17" s="76" t="n">
        <v>0.6</v>
      </c>
      <c r="E17" s="77" t="inlineStr">
        <is>
          <t>Google: zero CAC via Search/Workspace. MSFT/Amazon: leverage existing enterprise relationships.</t>
        </is>
      </c>
    </row>
    <row r="18">
      <c r="A18" s="25" t="inlineStr">
        <is>
          <t>(Distribution shown for reference - it affects revenue side, not the cost layers we sum below)</t>
        </is>
      </c>
    </row>
    <row r="20">
      <c r="A20" s="10" t="inlineStr">
        <is>
          <t>Resulting cost per M tokens (Mid scenario, 50% capex ownership)</t>
        </is>
      </c>
    </row>
    <row r="21">
      <c r="A21" s="9" t="inlineStr">
        <is>
          <t>Cost Layer</t>
        </is>
      </c>
      <c r="B21" s="9" t="inlineStr">
        <is>
          <t>Baseline lab</t>
        </is>
      </c>
      <c r="C21" s="9" t="inlineStr">
        <is>
          <t>Google</t>
        </is>
      </c>
      <c r="D21" s="9" t="inlineStr">
        <is>
          <t>MSFT+OpenAI</t>
        </is>
      </c>
      <c r="E21" s="9" t="inlineStr">
        <is>
          <t>Amazon+Anthropic</t>
        </is>
      </c>
    </row>
    <row r="22">
      <c r="A22" s="6" t="inlineStr">
        <is>
          <t>Training</t>
        </is>
      </c>
      <c r="B22" s="41">
        <f>'Cost Build'!D9</f>
        <v/>
      </c>
      <c r="C22" s="30">
        <f>'Cost Build'!D9*B12</f>
        <v/>
      </c>
      <c r="D22" s="30">
        <f>'Cost Build'!D9*C12</f>
        <v/>
      </c>
      <c r="E22" s="30">
        <f>'Cost Build'!D9*D12</f>
        <v/>
      </c>
    </row>
    <row r="23">
      <c r="A23" s="6" t="inlineStr">
        <is>
          <t>Inference compute</t>
        </is>
      </c>
      <c r="B23" s="41">
        <f>'Cost Build'!D16</f>
        <v/>
      </c>
      <c r="C23" s="30">
        <f>'Cost Build'!D16*B13</f>
        <v/>
      </c>
      <c r="D23" s="30">
        <f>'Cost Build'!D16*C13</f>
        <v/>
      </c>
      <c r="E23" s="30">
        <f>'Cost Build'!D16*D13</f>
        <v/>
      </c>
    </row>
    <row r="24">
      <c r="A24" s="6" t="inlineStr">
        <is>
          <t>Infrastructure</t>
        </is>
      </c>
      <c r="B24" s="41">
        <f>'Cost Build'!D22</f>
        <v/>
      </c>
      <c r="C24" s="30">
        <f>'Cost Build'!D22*B14</f>
        <v/>
      </c>
      <c r="D24" s="30">
        <f>'Cost Build'!D22*C14</f>
        <v/>
      </c>
      <c r="E24" s="30">
        <f>'Cost Build'!D22*D14</f>
        <v/>
      </c>
    </row>
    <row r="25">
      <c r="A25" s="6" t="inlineStr">
        <is>
          <t>R&amp;D / people / data</t>
        </is>
      </c>
      <c r="B25" s="41">
        <f>'Cost Build'!D26</f>
        <v/>
      </c>
      <c r="C25" s="30">
        <f>'Cost Build'!D26*B15</f>
        <v/>
      </c>
      <c r="D25" s="30">
        <f>'Cost Build'!D26*C15</f>
        <v/>
      </c>
      <c r="E25" s="30">
        <f>'Cost Build'!D26*D15</f>
        <v/>
      </c>
    </row>
    <row r="26">
      <c r="A26" s="6" t="inlineStr">
        <is>
          <t>Capex (lab cash)</t>
        </is>
      </c>
      <c r="B26" s="41">
        <f>'Cost Build'!D34</f>
        <v/>
      </c>
      <c r="C26" s="30">
        <f>'Cost Build'!D34*B16</f>
        <v/>
      </c>
      <c r="D26" s="30">
        <f>'Cost Build'!D34*C16</f>
        <v/>
      </c>
      <c r="E26" s="30">
        <f>'Cost Build'!D34*D16</f>
        <v/>
      </c>
    </row>
    <row r="27">
      <c r="A27" s="49" t="inlineStr">
        <is>
          <t>TOTAL cost per M tokens (lab cash)</t>
        </is>
      </c>
      <c r="B27" s="50">
        <f>SUM(B22:B26)</f>
        <v/>
      </c>
      <c r="C27" s="50">
        <f>SUM(C22:C26)</f>
        <v/>
      </c>
      <c r="D27" s="50">
        <f>SUM(D22:D26)</f>
        <v/>
      </c>
      <c r="E27" s="50">
        <f>SUM(E22:E26)</f>
        <v/>
      </c>
    </row>
    <row r="28">
      <c r="A28" s="4" t="inlineStr">
        <is>
          <t>Cost vs baseline (lower = advantage)</t>
        </is>
      </c>
      <c r="B28" s="78" t="inlineStr">
        <is>
          <t>100%</t>
        </is>
      </c>
      <c r="C28" s="79">
        <f>C27/B27</f>
        <v/>
      </c>
      <c r="D28" s="79">
        <f>D27/B27</f>
        <v/>
      </c>
      <c r="E28" s="79">
        <f>E27/B27</f>
        <v/>
      </c>
    </row>
    <row r="30">
      <c r="A30" s="10" t="inlineStr">
        <is>
          <t>What this means in practice</t>
        </is>
      </c>
    </row>
    <row r="31">
      <c r="A31" s="9" t="inlineStr">
        <is>
          <t>Scenario</t>
        </is>
      </c>
      <c r="B31" s="9" t="inlineStr">
        <is>
          <t>Google margin</t>
        </is>
      </c>
      <c r="C31" s="9" t="inlineStr">
        <is>
          <t>OpenAI margin</t>
        </is>
      </c>
      <c r="D31" s="9" t="inlineStr">
        <is>
          <t>Anthropic margin</t>
        </is>
      </c>
      <c r="E31" s="9" t="inlineStr">
        <is>
          <t>Implication</t>
        </is>
      </c>
    </row>
    <row r="32" ht="28" customHeight="1">
      <c r="A32" s="6" t="inlineStr">
        <is>
          <t>Consumer subs (~$133/M revenue yield)</t>
        </is>
      </c>
      <c r="B32" s="80">
        <f>('Revenue Build'!D10-C27)/'Revenue Build'!D10</f>
        <v/>
      </c>
      <c r="C32" s="80">
        <f>('Revenue Build'!D10-D27)/'Revenue Build'!D10</f>
        <v/>
      </c>
      <c r="D32" s="80">
        <f>('Revenue Build'!D10-E27)/'Revenue Build'!D10</f>
        <v/>
      </c>
      <c r="E32" s="77" t="inlineStr">
        <is>
          <t>Google can price-cut consumer aggressively without losing money</t>
        </is>
      </c>
    </row>
    <row r="33" ht="28" customHeight="1">
      <c r="A33" s="6" t="inlineStr">
        <is>
          <t>API at $30/M output (mid market)</t>
        </is>
      </c>
      <c r="B33" s="80">
        <f>(30-C27)/30</f>
        <v/>
      </c>
      <c r="C33" s="80">
        <f>(30-D27)/30</f>
        <v/>
      </c>
      <c r="D33" s="80">
        <f>(30-E27)/30</f>
        <v/>
      </c>
      <c r="E33" s="77" t="inlineStr">
        <is>
          <t>At commodity pricing, OpenAI/Anthropic likely lose money. Google barely positive.</t>
        </is>
      </c>
    </row>
    <row r="34" ht="28" customHeight="1">
      <c r="A34" s="6" t="inlineStr">
        <is>
          <t>API at $75/M output (frontier premium)</t>
        </is>
      </c>
      <c r="B34" s="80">
        <f>(75-C27)/75</f>
        <v/>
      </c>
      <c r="C34" s="80">
        <f>(75-D27)/75</f>
        <v/>
      </c>
      <c r="D34" s="80">
        <f>(75-E27)/75</f>
        <v/>
      </c>
      <c r="E34" s="77" t="inlineStr">
        <is>
          <t>Premium pricing is where standalone labs survive - if they have differentiation</t>
        </is>
      </c>
    </row>
    <row r="36">
      <c r="A36" s="10" t="inlineStr">
        <is>
          <t>Strategic takeaways</t>
        </is>
      </c>
    </row>
    <row r="37" ht="32" customHeight="1">
      <c r="A37" s="48" t="inlineStr">
        <is>
          <t>• Google's structural cost advantage is real and probably permanent. Roughly 35-50% lower all-in cost per token.</t>
        </is>
      </c>
    </row>
    <row r="38" ht="32" customHeight="1">
      <c r="A38" s="48" t="inlineStr">
        <is>
          <t>• MSFT+OpenAI and Amazon+Anthropic are competitive only by absorbing the cost gap into hyperscaler P&amp;Ls. They cannot win as standalones.</t>
        </is>
      </c>
    </row>
    <row r="39" ht="32" customHeight="1">
      <c r="A39" s="48" t="inlineStr">
        <is>
          <t>• At commodity API prices, only Google has clear positive margin. Standalone labs need premium positioning or scale subsidies.</t>
        </is>
      </c>
    </row>
    <row r="40" ht="32" customHeight="1">
      <c r="A40" s="48" t="inlineStr">
        <is>
          <t>• Google's weakness: organizational and product execution. They've fumbled product launches before. The bull case for OpenAI/Anthropic is that capability differentiation outruns Google's cost advantage.</t>
        </is>
      </c>
    </row>
    <row r="41" ht="32" customHeight="1">
      <c r="A41" s="48" t="inlineStr">
        <is>
          <t>• The three-way structure favors Google in steady state. The standalone labs need to win NOW - before commoditization kicks in - or accept structural subordination.</t>
        </is>
      </c>
    </row>
    <row r="42" ht="32" customHeight="1">
      <c r="A42" s="48" t="inlineStr">
        <is>
          <t>• This explains why OpenAI is pushing so hard into consumer (ChatGPT, Atlas browser) and Anthropic into enterprise/code (Claude Code, Bedrock). Both are trying to escape pure API commodity competition.</t>
        </is>
      </c>
    </row>
  </sheetData>
  <mergeCells count="18">
    <mergeCell ref="A30:E30"/>
    <mergeCell ref="A39:E39"/>
    <mergeCell ref="B8:E8"/>
    <mergeCell ref="A20:E20"/>
    <mergeCell ref="A38:E38"/>
    <mergeCell ref="A2:E2"/>
    <mergeCell ref="A10:E10"/>
    <mergeCell ref="A42:E42"/>
    <mergeCell ref="B6:E6"/>
    <mergeCell ref="A41:E41"/>
    <mergeCell ref="B7:E7"/>
    <mergeCell ref="A1:E1"/>
    <mergeCell ref="A5:E5"/>
    <mergeCell ref="A37:E37"/>
    <mergeCell ref="A36:E36"/>
    <mergeCell ref="A40:E40"/>
    <mergeCell ref="A18:E18"/>
    <mergeCell ref="A3:E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8" customWidth="1" min="4" max="4"/>
    <col width="38" customWidth="1" min="5" max="5"/>
  </cols>
  <sheetData>
    <row r="1">
      <c r="A1" s="1" t="inlineStr">
        <is>
          <t>POST-ANNOUNCEMENT: Multi-Stack Competitive Reality (May 2026)</t>
        </is>
      </c>
    </row>
    <row r="2" ht="30" customHeight="1">
      <c r="A2" s="77" t="inlineStr">
        <is>
          <t>Reflects: Anthropic-Google $40B+TPU deal (Apr 2026), Anthropic-xAI Colossus 1 deal (May 2026), Amazon expansion to ~$100B / 5GW Trainium. Anthropic now multi-stack across Trainium, TPU, and Nvidia.</t>
        </is>
      </c>
    </row>
    <row r="3"/>
    <row r="5">
      <c r="A5" s="10" t="inlineStr">
        <is>
          <t>Revised competitive structure</t>
        </is>
      </c>
    </row>
    <row r="6" ht="42" customHeight="1">
      <c r="A6" s="70" t="inlineStr">
        <is>
          <t>Google</t>
        </is>
      </c>
      <c r="B6" s="71" t="inlineStr">
        <is>
          <t>Vertically integrated AND major arms dealer. Sells TPU capacity to Anthropic at scale. Trades some moat for cloud revenue and TPU validation as Nvidia alternative.</t>
        </is>
      </c>
    </row>
    <row r="7" ht="42" customHeight="1">
      <c r="A7" s="72" t="inlineStr">
        <is>
          <t>OpenAI (single-stack)</t>
        </is>
      </c>
      <c r="B7" s="71" t="inlineStr">
        <is>
          <t>Most strategically constrained: locked into Microsoft/Azure/Nvidia. Cannot capture TPU economics. Cannot dual-source. Largest revenue but narrowest supplier base.</t>
        </is>
      </c>
    </row>
    <row r="8" ht="42" customHeight="1">
      <c r="A8" s="73" t="inlineStr">
        <is>
          <t>Anthropic (multi-stack)</t>
        </is>
      </c>
      <c r="B8" s="71" t="inlineStr">
        <is>
          <t>Runs on Trainium (AWS), TPU (Google), Nvidia (xAI/CoreWeave). Captures portion of TPU cost advantage via Google deal. Portfolio diversification as strategic moat.</t>
        </is>
      </c>
    </row>
    <row r="10">
      <c r="A10" s="10" t="inlineStr">
        <is>
          <t>Updated cost layer multipliers vs baseline lab (post-announcement)</t>
        </is>
      </c>
    </row>
    <row r="11">
      <c r="A11" s="9" t="inlineStr">
        <is>
          <t>Cost Layer</t>
        </is>
      </c>
      <c r="B11" s="9" t="inlineStr">
        <is>
          <t>Google</t>
        </is>
      </c>
      <c r="C11" s="9" t="inlineStr">
        <is>
          <t>OpenAI (MSFT)</t>
        </is>
      </c>
      <c r="D11" s="9" t="inlineStr">
        <is>
          <t>Anthropic (multi)</t>
        </is>
      </c>
      <c r="E11" s="9" t="inlineStr">
        <is>
          <t>Change vs pre-announcement</t>
        </is>
      </c>
    </row>
    <row r="12" ht="28" customHeight="1">
      <c r="A12" s="6" t="inlineStr">
        <is>
          <t>Training cost</t>
        </is>
      </c>
      <c r="B12" s="74" t="n">
        <v>1</v>
      </c>
      <c r="C12" s="75" t="n">
        <v>1</v>
      </c>
      <c r="D12" s="76" t="n">
        <v>1</v>
      </c>
      <c r="E12" s="77" t="inlineStr">
        <is>
          <t>Unchanged - frontier training comparable across labs</t>
        </is>
      </c>
    </row>
    <row r="13" ht="28" customHeight="1">
      <c r="A13" s="6" t="inlineStr">
        <is>
          <t>Inference compute (silicon)</t>
        </is>
      </c>
      <c r="B13" s="74" t="n">
        <v>0.55</v>
      </c>
      <c r="C13" s="75" t="n">
        <v>1</v>
      </c>
      <c r="D13" s="76" t="n">
        <v>0.72</v>
      </c>
      <c r="E13" s="77" t="inlineStr">
        <is>
          <t>Anthropic 0.85 -&gt; 0.72: TPU access flows through partial cost advantage</t>
        </is>
      </c>
    </row>
    <row r="14" ht="28" customHeight="1">
      <c r="A14" s="6" t="inlineStr">
        <is>
          <t>Infrastructure overhead</t>
        </is>
      </c>
      <c r="B14" s="74" t="n">
        <v>0.65</v>
      </c>
      <c r="C14" s="75" t="n">
        <v>1</v>
      </c>
      <c r="D14" s="76" t="n">
        <v>0.85</v>
      </c>
      <c r="E14" s="77" t="inlineStr">
        <is>
          <t>Anthropic 0.95 -&gt; 0.85: TPU + Trainium + scale = better infra leverage</t>
        </is>
      </c>
    </row>
    <row r="15" ht="28" customHeight="1">
      <c r="A15" s="6" t="inlineStr">
        <is>
          <t>R&amp;D / people / data</t>
        </is>
      </c>
      <c r="B15" s="74" t="n">
        <v>0.85</v>
      </c>
      <c r="C15" s="75" t="n">
        <v>1</v>
      </c>
      <c r="D15" s="76" t="n">
        <v>1</v>
      </c>
      <c r="E15" s="77" t="inlineStr">
        <is>
          <t>Unchanged</t>
        </is>
      </c>
    </row>
    <row r="16" ht="28" customHeight="1">
      <c r="A16" s="6" t="inlineStr">
        <is>
          <t>Capex (effective burden)</t>
        </is>
      </c>
      <c r="B16" s="74" t="n">
        <v>0.7</v>
      </c>
      <c r="C16" s="75" t="n">
        <v>1</v>
      </c>
      <c r="D16" s="76" t="n">
        <v>0.85</v>
      </c>
      <c r="E16" s="77" t="inlineStr">
        <is>
          <t>Anthropic 1.0 -&gt; 0.85: multi-vendor sourcing reduces single-supplier markup</t>
        </is>
      </c>
    </row>
    <row r="17" ht="28" customHeight="1">
      <c r="A17" s="6" t="inlineStr">
        <is>
          <t>Distribution / CAC</t>
        </is>
      </c>
      <c r="B17" s="74" t="n">
        <v>0.3</v>
      </c>
      <c r="C17" s="75" t="n">
        <v>0.55</v>
      </c>
      <c r="D17" s="76" t="n">
        <v>0.5</v>
      </c>
      <c r="E17" s="77" t="inlineStr">
        <is>
          <t>OpenAI 0.6 -&gt; 0.55 (consumer scale). Anthropic 0.6 -&gt; 0.5 (Bedrock+Vertex+Azure)</t>
        </is>
      </c>
    </row>
    <row r="18">
      <c r="A18" s="25" t="inlineStr">
        <is>
          <t>(Distribution shown for reference - affects revenue side, not summed in cost total)</t>
        </is>
      </c>
    </row>
    <row r="20">
      <c r="A20" s="10" t="inlineStr">
        <is>
          <t>Resulting cost per M tokens (Mid scenario, 50% capex ownership)</t>
        </is>
      </c>
    </row>
    <row r="21">
      <c r="A21" s="9" t="inlineStr">
        <is>
          <t>Cost Layer</t>
        </is>
      </c>
      <c r="B21" s="9" t="inlineStr">
        <is>
          <t>Baseline lab</t>
        </is>
      </c>
      <c r="C21" s="9" t="inlineStr">
        <is>
          <t>Google</t>
        </is>
      </c>
      <c r="D21" s="9" t="inlineStr">
        <is>
          <t>OpenAI</t>
        </is>
      </c>
      <c r="E21" s="9" t="inlineStr">
        <is>
          <t>Anthropic</t>
        </is>
      </c>
    </row>
    <row r="22">
      <c r="A22" s="6" t="inlineStr">
        <is>
          <t>Training</t>
        </is>
      </c>
      <c r="B22" s="41">
        <f>'Cost Build'!D9</f>
        <v/>
      </c>
      <c r="C22" s="30">
        <f>'Cost Build'!D9*B12</f>
        <v/>
      </c>
      <c r="D22" s="30">
        <f>'Cost Build'!D9*C12</f>
        <v/>
      </c>
      <c r="E22" s="30">
        <f>'Cost Build'!D9*D12</f>
        <v/>
      </c>
    </row>
    <row r="23">
      <c r="A23" s="6" t="inlineStr">
        <is>
          <t>Inference compute</t>
        </is>
      </c>
      <c r="B23" s="41">
        <f>'Cost Build'!D16</f>
        <v/>
      </c>
      <c r="C23" s="30">
        <f>'Cost Build'!D16*B13</f>
        <v/>
      </c>
      <c r="D23" s="30">
        <f>'Cost Build'!D16*C13</f>
        <v/>
      </c>
      <c r="E23" s="30">
        <f>'Cost Build'!D16*D13</f>
        <v/>
      </c>
    </row>
    <row r="24">
      <c r="A24" s="6" t="inlineStr">
        <is>
          <t>Infrastructure</t>
        </is>
      </c>
      <c r="B24" s="41">
        <f>'Cost Build'!D22</f>
        <v/>
      </c>
      <c r="C24" s="30">
        <f>'Cost Build'!D22*B14</f>
        <v/>
      </c>
      <c r="D24" s="30">
        <f>'Cost Build'!D22*C14</f>
        <v/>
      </c>
      <c r="E24" s="30">
        <f>'Cost Build'!D22*D14</f>
        <v/>
      </c>
    </row>
    <row r="25">
      <c r="A25" s="6" t="inlineStr">
        <is>
          <t>R&amp;D / people / data</t>
        </is>
      </c>
      <c r="B25" s="41">
        <f>'Cost Build'!D26</f>
        <v/>
      </c>
      <c r="C25" s="30">
        <f>'Cost Build'!D26*B15</f>
        <v/>
      </c>
      <c r="D25" s="30">
        <f>'Cost Build'!D26*C15</f>
        <v/>
      </c>
      <c r="E25" s="30">
        <f>'Cost Build'!D26*D15</f>
        <v/>
      </c>
    </row>
    <row r="26">
      <c r="A26" s="6" t="inlineStr">
        <is>
          <t>Capex (lab cash)</t>
        </is>
      </c>
      <c r="B26" s="41">
        <f>'Cost Build'!D34</f>
        <v/>
      </c>
      <c r="C26" s="30">
        <f>'Cost Build'!D34*B16</f>
        <v/>
      </c>
      <c r="D26" s="30">
        <f>'Cost Build'!D34*C16</f>
        <v/>
      </c>
      <c r="E26" s="30">
        <f>'Cost Build'!D34*D16</f>
        <v/>
      </c>
    </row>
    <row r="27">
      <c r="A27" s="49" t="inlineStr">
        <is>
          <t>TOTAL cost per M tokens (lab cash)</t>
        </is>
      </c>
      <c r="B27" s="50">
        <f>SUM(B22:B26)</f>
        <v/>
      </c>
      <c r="C27" s="50">
        <f>SUM(C22:C26)</f>
        <v/>
      </c>
      <c r="D27" s="50">
        <f>SUM(D22:D26)</f>
        <v/>
      </c>
      <c r="E27" s="50">
        <f>SUM(E22:E26)</f>
        <v/>
      </c>
    </row>
    <row r="28">
      <c r="A28" s="4" t="inlineStr">
        <is>
          <t>Cost vs baseline (lower = advantage)</t>
        </is>
      </c>
      <c r="B28" s="78" t="inlineStr">
        <is>
          <t>100%</t>
        </is>
      </c>
      <c r="C28" s="79">
        <f>C27/B27</f>
        <v/>
      </c>
      <c r="D28" s="79">
        <f>D27/B27</f>
        <v/>
      </c>
      <c r="E28" s="79">
        <f>E27/B27</f>
        <v/>
      </c>
    </row>
    <row r="30">
      <c r="A30" s="10" t="inlineStr">
        <is>
          <t>Side-by-side: pre vs post announcement</t>
        </is>
      </c>
    </row>
    <row r="31">
      <c r="A31" s="9" t="inlineStr">
        <is>
          <t>Metric</t>
        </is>
      </c>
      <c r="B31" s="9" t="inlineStr">
        <is>
          <t>Baseline lab</t>
        </is>
      </c>
      <c r="C31" s="9" t="inlineStr">
        <is>
          <t>Google</t>
        </is>
      </c>
      <c r="D31" s="9" t="inlineStr">
        <is>
          <t>OpenAI</t>
        </is>
      </c>
      <c r="E31" s="9" t="inlineStr">
        <is>
          <t>Anthropic</t>
        </is>
      </c>
    </row>
    <row r="32">
      <c r="A32" s="6" t="inlineStr">
        <is>
          <t>Pre-announcement total $/M</t>
        </is>
      </c>
      <c r="B32" s="41">
        <f>'Stacks - Pre Announcement'!B27</f>
        <v/>
      </c>
      <c r="C32" s="41">
        <f>'Stacks - Pre Announcement'!C27</f>
        <v/>
      </c>
      <c r="D32" s="41">
        <f>'Stacks - Pre Announcement'!D27</f>
        <v/>
      </c>
      <c r="E32" s="41">
        <f>'Stacks - Pre Announcement'!E27</f>
        <v/>
      </c>
    </row>
    <row r="33">
      <c r="A33" s="6" t="inlineStr">
        <is>
          <t>Post-announcement total $/M</t>
        </is>
      </c>
      <c r="B33" s="30">
        <f>B27</f>
        <v/>
      </c>
      <c r="C33" s="30">
        <f>C27</f>
        <v/>
      </c>
      <c r="D33" s="30">
        <f>D27</f>
        <v/>
      </c>
      <c r="E33" s="30">
        <f>E27</f>
        <v/>
      </c>
    </row>
    <row r="34">
      <c r="A34" s="4" t="inlineStr">
        <is>
          <t>Change ($)</t>
        </is>
      </c>
      <c r="B34" s="81">
        <f>B33-B32</f>
        <v/>
      </c>
      <c r="C34" s="81">
        <f>C33-C32</f>
        <v/>
      </c>
      <c r="D34" s="81">
        <f>D33-D32</f>
        <v/>
      </c>
      <c r="E34" s="29">
        <f>E33-E32</f>
        <v/>
      </c>
    </row>
    <row r="35">
      <c r="A35" s="4" t="inlineStr">
        <is>
          <t>Change (%)</t>
        </is>
      </c>
      <c r="B35" s="82">
        <f>IFERROR((B33-B32)/B32,0)</f>
        <v/>
      </c>
      <c r="C35" s="82">
        <f>IFERROR((C33-C32)/C32,0)</f>
        <v/>
      </c>
      <c r="D35" s="82">
        <f>IFERROR((D33-D32)/D32,0)</f>
        <v/>
      </c>
      <c r="E35" s="44">
        <f>IFERROR((E33-E32)/E32,0)</f>
        <v/>
      </c>
    </row>
    <row r="37">
      <c r="A37" s="10" t="inlineStr">
        <is>
          <t>Margin at different price points (post-announcement)</t>
        </is>
      </c>
    </row>
    <row r="38">
      <c r="A38" s="9" t="inlineStr">
        <is>
          <t>Scenario</t>
        </is>
      </c>
      <c r="B38" s="9" t="inlineStr">
        <is>
          <t>Google margin</t>
        </is>
      </c>
      <c r="C38" s="9" t="inlineStr">
        <is>
          <t>OpenAI margin</t>
        </is>
      </c>
      <c r="D38" s="9" t="inlineStr">
        <is>
          <t>Anthropic margin</t>
        </is>
      </c>
      <c r="E38" s="9" t="inlineStr">
        <is>
          <t>Implication</t>
        </is>
      </c>
    </row>
    <row r="39" ht="28" customHeight="1">
      <c r="A39" s="6" t="inlineStr">
        <is>
          <t>Consumer subs (~$133/M revenue yield)</t>
        </is>
      </c>
      <c r="B39" s="80">
        <f>('Revenue Build'!D10-C27)/'Revenue Build'!D10</f>
        <v/>
      </c>
      <c r="C39" s="80">
        <f>('Revenue Build'!D10-D27)/'Revenue Build'!D10</f>
        <v/>
      </c>
      <c r="D39" s="80">
        <f>('Revenue Build'!D10-E27)/'Revenue Build'!D10</f>
        <v/>
      </c>
      <c r="E39" s="77" t="inlineStr">
        <is>
          <t>Anthropic now closer to Google margin via TPU access</t>
        </is>
      </c>
    </row>
    <row r="40" ht="28" customHeight="1">
      <c r="A40" s="6" t="inlineStr">
        <is>
          <t>API at $30/M output (mid market)</t>
        </is>
      </c>
      <c r="B40" s="80">
        <f>(30-C27)/30</f>
        <v/>
      </c>
      <c r="C40" s="80">
        <f>(30-D27)/30</f>
        <v/>
      </c>
      <c r="D40" s="80">
        <f>(30-E27)/30</f>
        <v/>
      </c>
      <c r="E40" s="77" t="inlineStr">
        <is>
          <t>Still loss-making for all at mid pricing - capex burden dominates</t>
        </is>
      </c>
    </row>
    <row r="41" ht="28" customHeight="1">
      <c r="A41" s="6" t="inlineStr">
        <is>
          <t>API at $75/M output (frontier premium)</t>
        </is>
      </c>
      <c r="B41" s="80">
        <f>(75-C27)/75</f>
        <v/>
      </c>
      <c r="C41" s="80">
        <f>(75-D27)/75</f>
        <v/>
      </c>
      <c r="D41" s="80">
        <f>(75-E27)/75</f>
        <v/>
      </c>
      <c r="E41" s="77" t="inlineStr">
        <is>
          <t>Anthropic gap to Google narrowed but OpenAI now most disadvantaged</t>
        </is>
      </c>
    </row>
    <row r="43">
      <c r="A43" s="10" t="inlineStr">
        <is>
          <t>Revised strategic takeaways</t>
        </is>
      </c>
    </row>
    <row r="44" ht="32" customHeight="1">
      <c r="A44" s="48" t="inlineStr">
        <is>
          <t>• Anthropic's cost gap vs Google narrowed substantially. From ~99% of baseline (pre) to ~88% (post). Still disadvantaged vs Google but materially closer.</t>
        </is>
      </c>
    </row>
    <row r="45" ht="32" customHeight="1">
      <c r="A45" s="48" t="inlineStr">
        <is>
          <t>• OpenAI now the most strategically constrained of the three: locked into Nvidia + Microsoft, cannot capture TPU economics, single-vendor risk on silicon.</t>
        </is>
      </c>
    </row>
    <row r="46" ht="32" customHeight="1">
      <c r="A46" s="48" t="inlineStr">
        <is>
          <t>• Google's vertical integration moat is partially monetized - they sell TPU capacity to a competitor for cloud revenue. Smart short-term, dilutive long-term.</t>
        </is>
      </c>
    </row>
    <row r="47" ht="32" customHeight="1">
      <c r="A47" s="48" t="inlineStr">
        <is>
          <t>• Multi-stack diversification has emerged as a real competitive strategy. Anthropic running on Trainium + TPU + Nvidia is a new pattern.</t>
        </is>
      </c>
    </row>
    <row r="48" ht="32" customHeight="1">
      <c r="A48" s="48" t="inlineStr">
        <is>
          <t>• Demand growth (Anthropic $9B -&gt; $30B run-rate in 4 months) suggests revenue may be compounding fast enough to justify capex commitments. Bear case weakened.</t>
        </is>
      </c>
    </row>
    <row r="49" ht="32" customHeight="1">
      <c r="A49" s="48" t="inlineStr">
        <is>
          <t>• xAI/SpaceX renting out Colossus to Anthropic is a tell that even purpose-built capacity is outrunning native demand - some 'overbuild' risk is real.</t>
        </is>
      </c>
    </row>
    <row r="50" ht="32" customHeight="1">
      <c r="A50" s="48" t="inlineStr">
        <is>
          <t>• Counterparty risk language in the Broadcom SEC filing ('dependent on Anthropic's continued commercial success') signals suppliers see real risk in these commitments.</t>
        </is>
      </c>
    </row>
  </sheetData>
  <mergeCells count="19">
    <mergeCell ref="A30:E30"/>
    <mergeCell ref="A48:E48"/>
    <mergeCell ref="A2:E3"/>
    <mergeCell ref="B6:E6"/>
    <mergeCell ref="A49:E49"/>
    <mergeCell ref="A1:E1"/>
    <mergeCell ref="A45:E45"/>
    <mergeCell ref="B7:E7"/>
    <mergeCell ref="A37:E37"/>
    <mergeCell ref="A46:E46"/>
    <mergeCell ref="A18:E18"/>
    <mergeCell ref="A50:E50"/>
    <mergeCell ref="A47:E47"/>
    <mergeCell ref="A5:E5"/>
    <mergeCell ref="B8:E8"/>
    <mergeCell ref="A20:E20"/>
    <mergeCell ref="A43:E43"/>
    <mergeCell ref="A10:E10"/>
    <mergeCell ref="A44:E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2026-05-11T02:25:30Z</dcterms:created>
  <dcterms:modified xsi:type="dcterms:W3CDTF">2026-05-11T02:25:30Z</dcterms:modified>
</cp:coreProperties>
</file>